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justes" sheetId="1" state="visible" r:id="rId1"/>
    <sheet xmlns:r="http://schemas.openxmlformats.org/officeDocument/2006/relationships" name="Previsao Anual" sheetId="2" state="visible" r:id="rId2"/>
    <sheet xmlns:r="http://schemas.openxmlformats.org/officeDocument/2006/relationships" name="Previsao Mensal" sheetId="3" state="visible" r:id="rId3"/>
    <sheet xmlns:r="http://schemas.openxmlformats.org/officeDocument/2006/relationships" name="Resumo Assembleia" sheetId="4" state="visible" r:id="rId4"/>
    <sheet xmlns:r="http://schemas.openxmlformats.org/officeDocument/2006/relationships" name="Frações" sheetId="5" state="visible" r:id="rId5"/>
    <sheet xmlns:r="http://schemas.openxmlformats.org/officeDocument/2006/relationships" name="Notas (Por For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00"/>
    <numFmt numFmtId="166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143A87"/>
      <sz val="13"/>
    </font>
    <font>
      <name val="Calibri"/>
      <i val="1"/>
      <color rgb="003E5676"/>
      <sz val="9"/>
    </font>
    <font>
      <name val="Calibri"/>
      <b val="1"/>
      <color rgb="00E88B1A"/>
      <sz val="12"/>
    </font>
    <font>
      <name val="Calibri"/>
      <b val="1"/>
      <color rgb="00143A87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43A87"/>
      <sz val="11"/>
    </font>
    <font>
      <name val="Calibri"/>
      <b val="1"/>
      <color rgb="00143A87"/>
      <sz val="10"/>
    </font>
    <font>
      <name val="Calibri"/>
      <b val="1"/>
      <color rgb="00143A87"/>
      <sz val="14"/>
    </font>
    <font>
      <name val="Calibri"/>
      <color rgb="003E5676"/>
      <sz val="11"/>
    </font>
    <font>
      <name val="Calibri"/>
      <b val="1"/>
      <color rgb="00E88B1A"/>
      <sz val="14"/>
    </font>
  </fonts>
  <fills count="7">
    <fill>
      <patternFill/>
    </fill>
    <fill>
      <patternFill patternType="gray125"/>
    </fill>
    <fill>
      <patternFill patternType="solid">
        <fgColor rgb="00143A87"/>
      </patternFill>
    </fill>
    <fill>
      <patternFill patternType="solid">
        <fgColor rgb="002E7BC7"/>
      </patternFill>
    </fill>
    <fill>
      <patternFill patternType="solid">
        <fgColor rgb="00FFF6E9"/>
      </patternFill>
    </fill>
    <fill>
      <patternFill patternType="solid">
        <fgColor rgb="00E8EEF7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5DEEC"/>
      </left>
      <right style="thin">
        <color rgb="00D5DEEC"/>
      </right>
      <top style="thin">
        <color rgb="00D5DEEC"/>
      </top>
      <bottom style="thin">
        <color rgb="00D5DE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0" applyAlignment="1" pivotButton="0" quotePrefix="0" xfId="0">
      <alignment horizontal="center"/>
    </xf>
    <xf numFmtId="0" fontId="7" fillId="0" borderId="0" pivotButton="0" quotePrefix="0" xfId="0"/>
    <xf numFmtId="10" fontId="0" fillId="4" borderId="1" applyAlignment="1" pivotButton="0" quotePrefix="0" xfId="0">
      <alignment horizontal="center"/>
    </xf>
    <xf numFmtId="0" fontId="8" fillId="0" borderId="0" pivotButton="0" quotePrefix="0" xfId="0"/>
    <xf numFmtId="0" fontId="6" fillId="3" borderId="0" applyAlignment="1" pivotButton="0" quotePrefix="0" xfId="0">
      <alignment horizontal="center" wrapText="1"/>
    </xf>
    <xf numFmtId="164" fontId="0" fillId="0" borderId="0" pivotButton="0" quotePrefix="0" xfId="0"/>
    <xf numFmtId="10" fontId="0" fillId="4" borderId="1" pivotButton="0" quotePrefix="0" xfId="0"/>
    <xf numFmtId="164" fontId="0" fillId="4" borderId="1" pivotButton="0" quotePrefix="0" xfId="0"/>
    <xf numFmtId="10" fontId="0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0" fontId="9" fillId="6" borderId="0" pivotButton="0" quotePrefix="0" xfId="0"/>
    <xf numFmtId="164" fontId="9" fillId="6" borderId="0" pivotButton="0" quotePrefix="0" xfId="0"/>
    <xf numFmtId="164" fontId="5" fillId="2" borderId="0" pivotButton="0" quotePrefix="0" xfId="0"/>
    <xf numFmtId="0" fontId="6" fillId="3" borderId="0" pivotButton="0" quotePrefix="0" xfId="0"/>
    <xf numFmtId="164" fontId="6" fillId="2" borderId="0" pivotButton="0" quotePrefix="0" xfId="0"/>
    <xf numFmtId="0" fontId="10" fillId="0" borderId="0" pivotButton="0" quotePrefix="0" xfId="0"/>
    <xf numFmtId="164" fontId="11" fillId="0" borderId="0" pivotButton="0" quotePrefix="0" xfId="0"/>
    <xf numFmtId="0" fontId="9" fillId="0" borderId="0" pivotButton="0" quotePrefix="0" xfId="0"/>
    <xf numFmtId="0" fontId="9" fillId="4" borderId="1" pivotButton="0" quotePrefix="0" xfId="0"/>
    <xf numFmtId="1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2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2">
      <c r="B2" s="1" t="inlineStr">
        <is>
          <t>PAINEL DE REAJUSTES — Base: Realizado Superlógica</t>
        </is>
      </c>
    </row>
    <row r="3">
      <c r="B3" s="2" t="inlineStr">
        <is>
          <t>Edite os percentuais por categoria. Para um item específico, use a tabela debaixo.</t>
        </is>
      </c>
    </row>
    <row r="5">
      <c r="B5" s="3">
        <f>'Previsao Anual'!E122</f>
        <v/>
      </c>
      <c r="D5" s="4">
        <f>'Resumo Assembleia'!D24</f>
        <v/>
      </c>
    </row>
    <row r="6">
      <c r="B6" s="2" t="inlineStr">
        <is>
          <t>Total Previsto</t>
        </is>
      </c>
      <c r="D6" s="2" t="inlineStr">
        <is>
          <t>Taxa Mensal (referência)</t>
        </is>
      </c>
    </row>
    <row r="9">
      <c r="B9" s="5" t="inlineStr">
        <is>
          <t>REAJUSTE POR CATEGORIA</t>
        </is>
      </c>
      <c r="C9" s="6" t="n"/>
    </row>
    <row r="10">
      <c r="B10" s="7" t="inlineStr">
        <is>
          <t>Categoria</t>
        </is>
      </c>
      <c r="C10" s="7" t="inlineStr">
        <is>
          <t>Reajuste %</t>
        </is>
      </c>
    </row>
    <row r="11">
      <c r="B11" s="8" t="inlineStr">
        <is>
          <t>Despesas Financeiras</t>
        </is>
      </c>
      <c r="C11" s="9" t="n"/>
    </row>
    <row r="12">
      <c r="B12" s="8" t="inlineStr">
        <is>
          <t>Despesa com Funcionários</t>
        </is>
      </c>
      <c r="C12" s="9" t="n"/>
    </row>
    <row r="13">
      <c r="B13" s="8" t="inlineStr">
        <is>
          <t>Retenções Fiscais</t>
        </is>
      </c>
      <c r="C13" s="9" t="n"/>
    </row>
    <row r="14">
      <c r="B14" s="8" t="inlineStr">
        <is>
          <t>Despesa Administrativa</t>
        </is>
      </c>
      <c r="C14" s="9" t="n"/>
    </row>
    <row r="15">
      <c r="B15" s="8" t="inlineStr">
        <is>
          <t>Manutenção</t>
        </is>
      </c>
      <c r="C15" s="9" t="n"/>
    </row>
    <row r="16">
      <c r="B16" s="8" t="inlineStr">
        <is>
          <t>Aquisição de Materiais</t>
        </is>
      </c>
      <c r="C16" s="9" t="n"/>
    </row>
    <row r="17">
      <c r="B17" s="8" t="inlineStr">
        <is>
          <t>Serviços</t>
        </is>
      </c>
      <c r="C17" s="9" t="n"/>
    </row>
    <row r="18">
      <c r="B18" s="8" t="inlineStr">
        <is>
          <t>Investimento e Equipamentos</t>
        </is>
      </c>
      <c r="C18" s="9" t="n"/>
    </row>
    <row r="19">
      <c r="B19" s="8" t="inlineStr">
        <is>
          <t>Taxas e Recolhimentos</t>
        </is>
      </c>
      <c r="C19" s="9" t="n"/>
    </row>
    <row r="20">
      <c r="B20" s="10" t="inlineStr">
        <is>
          <t>REAJUSTE POR ITEM (opcional — sobrescreve a categoria)</t>
        </is>
      </c>
    </row>
    <row r="21">
      <c r="B21" s="2" t="inlineStr">
        <is>
          <t>Preencha APENAS UMA das 3 opções por item: % (col E), valor anual (col F) ou valor mensal (col G). Prioridade: mensal &gt; anual &gt; %. Vazio = herda o % da categoria.</t>
        </is>
      </c>
    </row>
    <row r="22" ht="30" customHeight="1">
      <c r="B22" s="11" t="inlineStr">
        <is>
          <t>Item</t>
        </is>
      </c>
      <c r="C22" s="11" t="inlineStr">
        <is>
          <t>Categoria</t>
        </is>
      </c>
      <c r="D22" s="11" t="inlineStr">
        <is>
          <t>Base Anual (R$)</t>
        </is>
      </c>
      <c r="E22" s="11" t="inlineStr">
        <is>
          <t>Reajuste % do Item</t>
        </is>
      </c>
      <c r="F22" s="11" t="inlineStr">
        <is>
          <t>Valor Anual 2026 (R$)</t>
        </is>
      </c>
      <c r="G22" s="11" t="inlineStr">
        <is>
          <t>Valor Mensal 2026 (R$)</t>
        </is>
      </c>
      <c r="H22" s="11" t="inlineStr">
        <is>
          <t>% Aplicado</t>
        </is>
      </c>
      <c r="I22" s="11" t="inlineStr">
        <is>
          <t>Valor Final Anual (R$)</t>
        </is>
      </c>
    </row>
    <row r="23">
      <c r="B23" s="8" t="inlineStr">
        <is>
          <t>Cotas de Capital - Sicoob</t>
        </is>
      </c>
      <c r="C23" s="2" t="inlineStr">
        <is>
          <t>Despesas Financeiras</t>
        </is>
      </c>
      <c r="D23" s="12">
        <f>'Previsao Anual'!C7</f>
        <v/>
      </c>
      <c r="E23" s="13" t="n"/>
      <c r="F23" s="14" t="n"/>
      <c r="G23" s="14" t="n"/>
      <c r="H23" s="15">
        <f>IFERROR(IF(ISNUMBER(G23),(G23*12)/D23-1,IF(ISNUMBER(F23),F23/D23-1,IF(ISNUMBER(E23),E23,IF(ISNUMBER(C11),C11,0)))),0)</f>
        <v/>
      </c>
      <c r="I23" s="12">
        <f>IF(ISNUMBER(G23),G23*12,IF(ISNUMBER(F23),F23,D23*(1+IF(ISNUMBER(E23),E23,IF(ISNUMBER(C11),C11,0)))))</f>
        <v/>
      </c>
    </row>
    <row r="24">
      <c r="B24" s="8" t="inlineStr">
        <is>
          <t>Reembolso</t>
        </is>
      </c>
      <c r="C24" s="2" t="inlineStr">
        <is>
          <t>Despesas Financeiras</t>
        </is>
      </c>
      <c r="D24" s="12">
        <f>'Previsao Anual'!C8</f>
        <v/>
      </c>
      <c r="E24" s="13" t="n"/>
      <c r="F24" s="14" t="n"/>
      <c r="G24" s="14" t="n"/>
      <c r="H24" s="15">
        <f>IFERROR(IF(ISNUMBER(G24),(G24*12)/D24-1,IF(ISNUMBER(F24),F24/D24-1,IF(ISNUMBER(E24),E24,IF(ISNUMBER(C11),C11,0)))),0)</f>
        <v/>
      </c>
      <c r="I24" s="12">
        <f>IF(ISNUMBER(G24),G24*12,IF(ISNUMBER(F24),F24,D24*(1+IF(ISNUMBER(E24),E24,IF(ISNUMBER(C11),C11,0)))))</f>
        <v/>
      </c>
    </row>
    <row r="25">
      <c r="B25" s="8" t="inlineStr">
        <is>
          <t>IRRF Poupança</t>
        </is>
      </c>
      <c r="C25" s="2" t="inlineStr">
        <is>
          <t>Despesas Financeiras</t>
        </is>
      </c>
      <c r="D25" s="12">
        <f>'Previsao Anual'!C9</f>
        <v/>
      </c>
      <c r="E25" s="13" t="n"/>
      <c r="F25" s="14" t="n"/>
      <c r="G25" s="14" t="n"/>
      <c r="H25" s="15">
        <f>IFERROR(IF(ISNUMBER(G25),(G25*12)/D25-1,IF(ISNUMBER(F25),F25/D25-1,IF(ISNUMBER(E25),E25,IF(ISNUMBER(C11),C11,0)))),0)</f>
        <v/>
      </c>
      <c r="I25" s="12">
        <f>IF(ISNUMBER(G25),G25*12,IF(ISNUMBER(F25),F25,D25*(1+IF(ISNUMBER(E25),E25,IF(ISNUMBER(C11),C11,0)))))</f>
        <v/>
      </c>
    </row>
    <row r="26">
      <c r="B26" s="8" t="inlineStr">
        <is>
          <t>Devolução Pagamento Reserva</t>
        </is>
      </c>
      <c r="C26" s="2" t="inlineStr">
        <is>
          <t>Despesas Financeiras</t>
        </is>
      </c>
      <c r="D26" s="12">
        <f>'Previsao Anual'!C10</f>
        <v/>
      </c>
      <c r="E26" s="13" t="n"/>
      <c r="F26" s="14" t="n"/>
      <c r="G26" s="14" t="n"/>
      <c r="H26" s="15">
        <f>IFERROR(IF(ISNUMBER(G26),(G26*12)/D26-1,IF(ISNUMBER(F26),F26/D26-1,IF(ISNUMBER(E26),E26,IF(ISNUMBER(C11),C11,0)))),0)</f>
        <v/>
      </c>
      <c r="I26" s="12">
        <f>IF(ISNUMBER(G26),G26*12,IF(ISNUMBER(F26),F26,D26*(1+IF(ISNUMBER(E26),E26,IF(ISNUMBER(C11),C11,0)))))</f>
        <v/>
      </c>
    </row>
    <row r="27">
      <c r="B27" s="8" t="inlineStr">
        <is>
          <t>Tarifas Bancárias - Garantidora</t>
        </is>
      </c>
      <c r="C27" s="2" t="inlineStr">
        <is>
          <t>Despesas Financeiras</t>
        </is>
      </c>
      <c r="D27" s="12">
        <f>'Previsao Anual'!C11</f>
        <v/>
      </c>
      <c r="E27" s="13" t="n"/>
      <c r="F27" s="14" t="n"/>
      <c r="G27" s="14" t="n"/>
      <c r="H27" s="15">
        <f>IFERROR(IF(ISNUMBER(G27),(G27*12)/D27-1,IF(ISNUMBER(F27),F27/D27-1,IF(ISNUMBER(E27),E27,IF(ISNUMBER(C11),C11,0)))),0)</f>
        <v/>
      </c>
      <c r="I27" s="12">
        <f>IF(ISNUMBER(G27),G27*12,IF(ISNUMBER(F27),F27,D27*(1+IF(ISNUMBER(E27),E27,IF(ISNUMBER(C11),C11,0)))))</f>
        <v/>
      </c>
    </row>
    <row r="28">
      <c r="B28" s="8" t="inlineStr">
        <is>
          <t>Contrato Mão de Obra Terceirizada</t>
        </is>
      </c>
      <c r="C28" s="2" t="inlineStr">
        <is>
          <t>Despesa com Funcionários</t>
        </is>
      </c>
      <c r="D28" s="12">
        <f>'Previsao Anual'!C15</f>
        <v/>
      </c>
      <c r="E28" s="13" t="n"/>
      <c r="F28" s="14" t="n"/>
      <c r="G28" s="14" t="n"/>
      <c r="H28" s="15">
        <f>IFERROR(IF(ISNUMBER(G28),(G28*12)/D28-1,IF(ISNUMBER(F28),F28/D28-1,IF(ISNUMBER(E28),E28,IF(ISNUMBER(C12),C12,0)))),0)</f>
        <v/>
      </c>
      <c r="I28" s="12">
        <f>IF(ISNUMBER(G28),G28*12,IF(ISNUMBER(F28),F28,D28*(1+IF(ISNUMBER(E28),E28,IF(ISNUMBER(C12),C12,0)))))</f>
        <v/>
      </c>
    </row>
    <row r="29">
      <c r="B29" s="8" t="inlineStr">
        <is>
          <t>Alimentação e Lanche</t>
        </is>
      </c>
      <c r="C29" s="2" t="inlineStr">
        <is>
          <t>Despesa com Funcionários</t>
        </is>
      </c>
      <c r="D29" s="12">
        <f>'Previsao Anual'!C16</f>
        <v/>
      </c>
      <c r="E29" s="13" t="n"/>
      <c r="F29" s="14" t="n"/>
      <c r="G29" s="14" t="n"/>
      <c r="H29" s="15">
        <f>IFERROR(IF(ISNUMBER(G29),(G29*12)/D29-1,IF(ISNUMBER(F29),F29/D29-1,IF(ISNUMBER(E29),E29,IF(ISNUMBER(C12),C12,0)))),0)</f>
        <v/>
      </c>
      <c r="I29" s="12">
        <f>IF(ISNUMBER(G29),G29*12,IF(ISNUMBER(F29),F29,D29*(1+IF(ISNUMBER(E29),E29,IF(ISNUMBER(C12),C12,0)))))</f>
        <v/>
      </c>
    </row>
    <row r="30">
      <c r="B30" s="8" t="inlineStr">
        <is>
          <t>Padaria</t>
        </is>
      </c>
      <c r="C30" s="2" t="inlineStr">
        <is>
          <t>Despesa com Funcionários</t>
        </is>
      </c>
      <c r="D30" s="12">
        <f>'Previsao Anual'!C17</f>
        <v/>
      </c>
      <c r="E30" s="13" t="n"/>
      <c r="F30" s="14" t="n"/>
      <c r="G30" s="14" t="n"/>
      <c r="H30" s="15">
        <f>IFERROR(IF(ISNUMBER(G30),(G30*12)/D30-1,IF(ISNUMBER(F30),F30/D30-1,IF(ISNUMBER(E30),E30,IF(ISNUMBER(C12),C12,0)))),0)</f>
        <v/>
      </c>
      <c r="I30" s="12">
        <f>IF(ISNUMBER(G30),G30*12,IF(ISNUMBER(F30),F30,D30*(1+IF(ISNUMBER(E30),E30,IF(ISNUMBER(C12),C12,0)))))</f>
        <v/>
      </c>
    </row>
    <row r="31">
      <c r="B31" s="8" t="inlineStr">
        <is>
          <t>ISS</t>
        </is>
      </c>
      <c r="C31" s="2" t="inlineStr">
        <is>
          <t>Retenções Fiscais</t>
        </is>
      </c>
      <c r="D31" s="12">
        <f>'Previsao Anual'!C21</f>
        <v/>
      </c>
      <c r="E31" s="13" t="n"/>
      <c r="F31" s="14" t="n"/>
      <c r="G31" s="14" t="n"/>
      <c r="H31" s="15">
        <f>IFERROR(IF(ISNUMBER(G31),(G31*12)/D31-1,IF(ISNUMBER(F31),F31/D31-1,IF(ISNUMBER(E31),E31,IF(ISNUMBER(C13),C13,0)))),0)</f>
        <v/>
      </c>
      <c r="I31" s="12">
        <f>IF(ISNUMBER(G31),G31*12,IF(ISNUMBER(F31),F31,D31*(1+IF(ISNUMBER(E31),E31,IF(ISNUMBER(C13),C13,0)))))</f>
        <v/>
      </c>
    </row>
    <row r="32">
      <c r="B32" s="8" t="inlineStr">
        <is>
          <t>DARF Pis Cofins CSLL</t>
        </is>
      </c>
      <c r="C32" s="2" t="inlineStr">
        <is>
          <t>Retenções Fiscais</t>
        </is>
      </c>
      <c r="D32" s="12">
        <f>'Previsao Anual'!C22</f>
        <v/>
      </c>
      <c r="E32" s="13" t="n"/>
      <c r="F32" s="14" t="n"/>
      <c r="G32" s="14" t="n"/>
      <c r="H32" s="15">
        <f>IFERROR(IF(ISNUMBER(G32),(G32*12)/D32-1,IF(ISNUMBER(F32),F32/D32-1,IF(ISNUMBER(E32),E32,IF(ISNUMBER(C13),C13,0)))),0)</f>
        <v/>
      </c>
      <c r="I32" s="12">
        <f>IF(ISNUMBER(G32),G32*12,IF(ISNUMBER(F32),F32,D32*(1+IF(ISNUMBER(E32),E32,IF(ISNUMBER(C13),C13,0)))))</f>
        <v/>
      </c>
    </row>
    <row r="33">
      <c r="B33" s="8" t="inlineStr">
        <is>
          <t>Honorários Administrativos</t>
        </is>
      </c>
      <c r="C33" s="2" t="inlineStr">
        <is>
          <t>Despesa Administrativa</t>
        </is>
      </c>
      <c r="D33" s="12">
        <f>'Previsao Anual'!C26</f>
        <v/>
      </c>
      <c r="E33" s="13" t="n"/>
      <c r="F33" s="14" t="n"/>
      <c r="G33" s="14" t="n"/>
      <c r="H33" s="15">
        <f>IFERROR(IF(ISNUMBER(G33),(G33*12)/D33-1,IF(ISNUMBER(F33),F33/D33-1,IF(ISNUMBER(E33),E33,IF(ISNUMBER(C14),C14,0)))),0)</f>
        <v/>
      </c>
      <c r="I33" s="12">
        <f>IF(ISNUMBER(G33),G33*12,IF(ISNUMBER(F33),F33,D33*(1+IF(ISNUMBER(E33),E33,IF(ISNUMBER(C14),C14,0)))))</f>
        <v/>
      </c>
    </row>
    <row r="34">
      <c r="B34" s="8" t="inlineStr">
        <is>
          <t>Honorários Síndico</t>
        </is>
      </c>
      <c r="C34" s="2" t="inlineStr">
        <is>
          <t>Despesa Administrativa</t>
        </is>
      </c>
      <c r="D34" s="12">
        <f>'Previsao Anual'!C27</f>
        <v/>
      </c>
      <c r="E34" s="13" t="n"/>
      <c r="F34" s="14" t="n"/>
      <c r="G34" s="14" t="n"/>
      <c r="H34" s="15">
        <f>IFERROR(IF(ISNUMBER(G34),(G34*12)/D34-1,IF(ISNUMBER(F34),F34/D34-1,IF(ISNUMBER(E34),E34,IF(ISNUMBER(C14),C14,0)))),0)</f>
        <v/>
      </c>
      <c r="I34" s="12">
        <f>IF(ISNUMBER(G34),G34*12,IF(ISNUMBER(F34),F34,D34*(1+IF(ISNUMBER(E34),E34,IF(ISNUMBER(C14),C14,0)))))</f>
        <v/>
      </c>
    </row>
    <row r="35">
      <c r="B35" s="8" t="inlineStr">
        <is>
          <t>Despesas Com Correios</t>
        </is>
      </c>
      <c r="C35" s="2" t="inlineStr">
        <is>
          <t>Despesa Administrativa</t>
        </is>
      </c>
      <c r="D35" s="12">
        <f>'Previsao Anual'!C28</f>
        <v/>
      </c>
      <c r="E35" s="13" t="n"/>
      <c r="F35" s="14" t="n"/>
      <c r="G35" s="14" t="n"/>
      <c r="H35" s="15">
        <f>IFERROR(IF(ISNUMBER(G35),(G35*12)/D35-1,IF(ISNUMBER(F35),F35/D35-1,IF(ISNUMBER(E35),E35,IF(ISNUMBER(C14),C14,0)))),0)</f>
        <v/>
      </c>
      <c r="I35" s="12">
        <f>IF(ISNUMBER(G35),G35*12,IF(ISNUMBER(F35),F35,D35*(1+IF(ISNUMBER(E35),E35,IF(ISNUMBER(C14),C14,0)))))</f>
        <v/>
      </c>
    </row>
    <row r="36">
      <c r="B36" s="8" t="inlineStr">
        <is>
          <t>Despesas Com Cartório</t>
        </is>
      </c>
      <c r="C36" s="2" t="inlineStr">
        <is>
          <t>Despesa Administrativa</t>
        </is>
      </c>
      <c r="D36" s="12">
        <f>'Previsao Anual'!C29</f>
        <v/>
      </c>
      <c r="E36" s="13" t="n"/>
      <c r="F36" s="14" t="n"/>
      <c r="G36" s="14" t="n"/>
      <c r="H36" s="15">
        <f>IFERROR(IF(ISNUMBER(G36),(G36*12)/D36-1,IF(ISNUMBER(F36),F36/D36-1,IF(ISNUMBER(E36),E36,IF(ISNUMBER(C14),C14,0)))),0)</f>
        <v/>
      </c>
      <c r="I36" s="12">
        <f>IF(ISNUMBER(G36),G36*12,IF(ISNUMBER(F36),F36,D36*(1+IF(ISNUMBER(E36),E36,IF(ISNUMBER(C14),C14,0)))))</f>
        <v/>
      </c>
    </row>
    <row r="37">
      <c r="B37" s="8" t="inlineStr">
        <is>
          <t>Despesas Com Material de Expediente</t>
        </is>
      </c>
      <c r="C37" s="2" t="inlineStr">
        <is>
          <t>Despesa Administrativa</t>
        </is>
      </c>
      <c r="D37" s="12">
        <f>'Previsao Anual'!C30</f>
        <v/>
      </c>
      <c r="E37" s="13" t="n"/>
      <c r="F37" s="14" t="n"/>
      <c r="G37" s="14" t="n"/>
      <c r="H37" s="15">
        <f>IFERROR(IF(ISNUMBER(G37),(G37*12)/D37-1,IF(ISNUMBER(F37),F37/D37-1,IF(ISNUMBER(E37),E37,IF(ISNUMBER(C14),C14,0)))),0)</f>
        <v/>
      </c>
      <c r="I37" s="12">
        <f>IF(ISNUMBER(G37),G37*12,IF(ISNUMBER(F37),F37,D37*(1+IF(ISNUMBER(E37),E37,IF(ISNUMBER(C14),C14,0)))))</f>
        <v/>
      </c>
    </row>
    <row r="38">
      <c r="B38" s="8" t="inlineStr">
        <is>
          <t>Honorários Advocatícios</t>
        </is>
      </c>
      <c r="C38" s="2" t="inlineStr">
        <is>
          <t>Despesa Administrativa</t>
        </is>
      </c>
      <c r="D38" s="12">
        <f>'Previsao Anual'!C31</f>
        <v/>
      </c>
      <c r="E38" s="13" t="n"/>
      <c r="F38" s="14" t="n"/>
      <c r="G38" s="14" t="n"/>
      <c r="H38" s="15">
        <f>IFERROR(IF(ISNUMBER(G38),(G38*12)/D38-1,IF(ISNUMBER(F38),F38/D38-1,IF(ISNUMBER(E38),E38,IF(ISNUMBER(C14),C14,0)))),0)</f>
        <v/>
      </c>
      <c r="I38" s="12">
        <f>IF(ISNUMBER(G38),G38*12,IF(ISNUMBER(F38),F38,D38*(1+IF(ISNUMBER(E38),E38,IF(ISNUMBER(C14),C14,0)))))</f>
        <v/>
      </c>
    </row>
    <row r="39">
      <c r="B39" s="8" t="inlineStr">
        <is>
          <t>Custas Processuais</t>
        </is>
      </c>
      <c r="C39" s="2" t="inlineStr">
        <is>
          <t>Despesa Administrativa</t>
        </is>
      </c>
      <c r="D39" s="12">
        <f>'Previsao Anual'!C32</f>
        <v/>
      </c>
      <c r="E39" s="13" t="n"/>
      <c r="F39" s="14" t="n"/>
      <c r="G39" s="14" t="n"/>
      <c r="H39" s="15">
        <f>IFERROR(IF(ISNUMBER(G39),(G39*12)/D39-1,IF(ISNUMBER(F39),F39/D39-1,IF(ISNUMBER(E39),E39,IF(ISNUMBER(C14),C14,0)))),0)</f>
        <v/>
      </c>
      <c r="I39" s="12">
        <f>IF(ISNUMBER(G39),G39*12,IF(ISNUMBER(F39),F39,D39*(1+IF(ISNUMBER(E39),E39,IF(ISNUMBER(C14),C14,0)))))</f>
        <v/>
      </c>
    </row>
    <row r="40">
      <c r="B40" s="8" t="inlineStr">
        <is>
          <t>Multa-Penalidade</t>
        </is>
      </c>
      <c r="C40" s="2" t="inlineStr">
        <is>
          <t>Despesa Administrativa</t>
        </is>
      </c>
      <c r="D40" s="12">
        <f>'Previsao Anual'!C33</f>
        <v/>
      </c>
      <c r="E40" s="13" t="n"/>
      <c r="F40" s="14" t="n"/>
      <c r="G40" s="14" t="n"/>
      <c r="H40" s="15">
        <f>IFERROR(IF(ISNUMBER(G40),(G40*12)/D40-1,IF(ISNUMBER(F40),F40/D40-1,IF(ISNUMBER(E40),E40,IF(ISNUMBER(C14),C14,0)))),0)</f>
        <v/>
      </c>
      <c r="I40" s="12">
        <f>IF(ISNUMBER(G40),G40*12,IF(ISNUMBER(F40),F40,D40*(1+IF(ISNUMBER(E40),E40,IF(ISNUMBER(C14),C14,0)))))</f>
        <v/>
      </c>
    </row>
    <row r="41">
      <c r="B41" s="8" t="inlineStr">
        <is>
          <t>Taxa Antecipação Garantidora</t>
        </is>
      </c>
      <c r="C41" s="2" t="inlineStr">
        <is>
          <t>Despesa Administrativa</t>
        </is>
      </c>
      <c r="D41" s="12">
        <f>'Previsao Anual'!C34</f>
        <v/>
      </c>
      <c r="E41" s="13" t="n"/>
      <c r="F41" s="14" t="n"/>
      <c r="G41" s="14" t="n"/>
      <c r="H41" s="15">
        <f>IFERROR(IF(ISNUMBER(G41),(G41*12)/D41-1,IF(ISNUMBER(F41),F41/D41-1,IF(ISNUMBER(E41),E41,IF(ISNUMBER(C14),C14,0)))),0)</f>
        <v/>
      </c>
      <c r="I41" s="12">
        <f>IF(ISNUMBER(G41),G41*12,IF(ISNUMBER(F41),F41,D41*(1+IF(ISNUMBER(E41),E41,IF(ISNUMBER(C14),C14,0)))))</f>
        <v/>
      </c>
    </row>
    <row r="42">
      <c r="B42" s="8" t="inlineStr">
        <is>
          <t>Despesa com Deslocamento</t>
        </is>
      </c>
      <c r="C42" s="2" t="inlineStr">
        <is>
          <t>Despesa Administrativa</t>
        </is>
      </c>
      <c r="D42" s="12">
        <f>'Previsao Anual'!C35</f>
        <v/>
      </c>
      <c r="E42" s="13" t="n"/>
      <c r="F42" s="14" t="n"/>
      <c r="G42" s="14" t="n"/>
      <c r="H42" s="15">
        <f>IFERROR(IF(ISNUMBER(G42),(G42*12)/D42-1,IF(ISNUMBER(F42),F42/D42-1,IF(ISNUMBER(E42),E42,IF(ISNUMBER(C14),C14,0)))),0)</f>
        <v/>
      </c>
      <c r="I42" s="12">
        <f>IF(ISNUMBER(G42),G42*12,IF(ISNUMBER(F42),F42,D42*(1+IF(ISNUMBER(E42),E42,IF(ISNUMBER(C14),C14,0)))))</f>
        <v/>
      </c>
    </row>
    <row r="43">
      <c r="B43" s="8" t="inlineStr">
        <is>
          <t>Contrato Manutenção Elevador</t>
        </is>
      </c>
      <c r="C43" s="2" t="inlineStr">
        <is>
          <t>Manutenção</t>
        </is>
      </c>
      <c r="D43" s="12">
        <f>'Previsao Anual'!C39</f>
        <v/>
      </c>
      <c r="E43" s="13" t="n"/>
      <c r="F43" s="14" t="n"/>
      <c r="G43" s="14" t="n"/>
      <c r="H43" s="15">
        <f>IFERROR(IF(ISNUMBER(G43),(G43*12)/D43-1,IF(ISNUMBER(F43),F43/D43-1,IF(ISNUMBER(E43),E43,IF(ISNUMBER(C15),C15,0)))),0)</f>
        <v/>
      </c>
      <c r="I43" s="12">
        <f>IF(ISNUMBER(G43),G43*12,IF(ISNUMBER(F43),F43,D43*(1+IF(ISNUMBER(E43),E43,IF(ISNUMBER(C15),C15,0)))))</f>
        <v/>
      </c>
    </row>
    <row r="44">
      <c r="B44" s="8" t="inlineStr">
        <is>
          <t>Contrato Manutenção Piscina</t>
        </is>
      </c>
      <c r="C44" s="2" t="inlineStr">
        <is>
          <t>Manutenção</t>
        </is>
      </c>
      <c r="D44" s="12">
        <f>'Previsao Anual'!C40</f>
        <v/>
      </c>
      <c r="E44" s="13" t="n"/>
      <c r="F44" s="14" t="n"/>
      <c r="G44" s="14" t="n"/>
      <c r="H44" s="15">
        <f>IFERROR(IF(ISNUMBER(G44),(G44*12)/D44-1,IF(ISNUMBER(F44),F44/D44-1,IF(ISNUMBER(E44),E44,IF(ISNUMBER(C15),C15,0)))),0)</f>
        <v/>
      </c>
      <c r="I44" s="12">
        <f>IF(ISNUMBER(G44),G44*12,IF(ISNUMBER(F44),F44,D44*(1+IF(ISNUMBER(E44),E44,IF(ISNUMBER(C15),C15,0)))))</f>
        <v/>
      </c>
    </row>
    <row r="45">
      <c r="B45" s="8" t="inlineStr">
        <is>
          <t>Contrato Manutenção Jardinagem</t>
        </is>
      </c>
      <c r="C45" s="2" t="inlineStr">
        <is>
          <t>Manutenção</t>
        </is>
      </c>
      <c r="D45" s="12">
        <f>'Previsao Anual'!C41</f>
        <v/>
      </c>
      <c r="E45" s="13" t="n"/>
      <c r="F45" s="14" t="n"/>
      <c r="G45" s="14" t="n"/>
      <c r="H45" s="15">
        <f>IFERROR(IF(ISNUMBER(G45),(G45*12)/D45-1,IF(ISNUMBER(F45),F45/D45-1,IF(ISNUMBER(E45),E45,IF(ISNUMBER(C15),C15,0)))),0)</f>
        <v/>
      </c>
      <c r="I45" s="12">
        <f>IF(ISNUMBER(G45),G45*12,IF(ISNUMBER(F45),F45,D45*(1+IF(ISNUMBER(E45),E45,IF(ISNUMBER(C15),C15,0)))))</f>
        <v/>
      </c>
    </row>
    <row r="46">
      <c r="B46" s="8" t="inlineStr">
        <is>
          <t>Contrato Manutenção Segurança Eletrônica</t>
        </is>
      </c>
      <c r="C46" s="2" t="inlineStr">
        <is>
          <t>Manutenção</t>
        </is>
      </c>
      <c r="D46" s="12">
        <f>'Previsao Anual'!C42</f>
        <v/>
      </c>
      <c r="E46" s="13" t="n"/>
      <c r="F46" s="14" t="n"/>
      <c r="G46" s="14" t="n"/>
      <c r="H46" s="15">
        <f>IFERROR(IF(ISNUMBER(G46),(G46*12)/D46-1,IF(ISNUMBER(F46),F46/D46-1,IF(ISNUMBER(E46),E46,IF(ISNUMBER(C15),C15,0)))),0)</f>
        <v/>
      </c>
      <c r="I46" s="12">
        <f>IF(ISNUMBER(G46),G46*12,IF(ISNUMBER(F46),F46,D46*(1+IF(ISNUMBER(E46),E46,IF(ISNUMBER(C15),C15,0)))))</f>
        <v/>
      </c>
    </row>
    <row r="47">
      <c r="B47" s="8" t="inlineStr">
        <is>
          <t>Contrato de Manutenção de Desinsetização</t>
        </is>
      </c>
      <c r="C47" s="2" t="inlineStr">
        <is>
          <t>Manutenção</t>
        </is>
      </c>
      <c r="D47" s="12">
        <f>'Previsao Anual'!C43</f>
        <v/>
      </c>
      <c r="E47" s="13" t="n"/>
      <c r="F47" s="14" t="n"/>
      <c r="G47" s="14" t="n"/>
      <c r="H47" s="15">
        <f>IFERROR(IF(ISNUMBER(G47),(G47*12)/D47-1,IF(ISNUMBER(F47),F47/D47-1,IF(ISNUMBER(E47),E47,IF(ISNUMBER(C15),C15,0)))),0)</f>
        <v/>
      </c>
      <c r="I47" s="12">
        <f>IF(ISNUMBER(G47),G47*12,IF(ISNUMBER(F47),F47,D47*(1+IF(ISNUMBER(E47),E47,IF(ISNUMBER(C15),C15,0)))))</f>
        <v/>
      </c>
    </row>
    <row r="48">
      <c r="B48" s="8" t="inlineStr">
        <is>
          <t>Contrato Manutenção de Segurança</t>
        </is>
      </c>
      <c r="C48" s="2" t="inlineStr">
        <is>
          <t>Manutenção</t>
        </is>
      </c>
      <c r="D48" s="12">
        <f>'Previsao Anual'!C44</f>
        <v/>
      </c>
      <c r="E48" s="13" t="n"/>
      <c r="F48" s="14" t="n"/>
      <c r="G48" s="14" t="n"/>
      <c r="H48" s="15">
        <f>IFERROR(IF(ISNUMBER(G48),(G48*12)/D48-1,IF(ISNUMBER(F48),F48/D48-1,IF(ISNUMBER(E48),E48,IF(ISNUMBER(C15),C15,0)))),0)</f>
        <v/>
      </c>
      <c r="I48" s="12">
        <f>IF(ISNUMBER(G48),G48*12,IF(ISNUMBER(F48),F48,D48*(1+IF(ISNUMBER(E48),E48,IF(ISNUMBER(C15),C15,0)))))</f>
        <v/>
      </c>
    </row>
    <row r="49">
      <c r="B49" s="8" t="inlineStr">
        <is>
          <t>Contrato Manutenção Bombas</t>
        </is>
      </c>
      <c r="C49" s="2" t="inlineStr">
        <is>
          <t>Manutenção</t>
        </is>
      </c>
      <c r="D49" s="12">
        <f>'Previsao Anual'!C45</f>
        <v/>
      </c>
      <c r="E49" s="13" t="n"/>
      <c r="F49" s="14" t="n"/>
      <c r="G49" s="14" t="n"/>
      <c r="H49" s="15">
        <f>IFERROR(IF(ISNUMBER(G49),(G49*12)/D49-1,IF(ISNUMBER(F49),F49/D49-1,IF(ISNUMBER(E49),E49,IF(ISNUMBER(C15),C15,0)))),0)</f>
        <v/>
      </c>
      <c r="I49" s="12">
        <f>IF(ISNUMBER(G49),G49*12,IF(ISNUMBER(F49),F49,D49*(1+IF(ISNUMBER(E49),E49,IF(ISNUMBER(C15),C15,0)))))</f>
        <v/>
      </c>
    </row>
    <row r="50">
      <c r="B50" s="8" t="inlineStr">
        <is>
          <t>Contrato Cx. de Gordura - Fossa e Esgoto</t>
        </is>
      </c>
      <c r="C50" s="2" t="inlineStr">
        <is>
          <t>Manutenção</t>
        </is>
      </c>
      <c r="D50" s="12">
        <f>'Previsao Anual'!C46</f>
        <v/>
      </c>
      <c r="E50" s="13" t="n"/>
      <c r="F50" s="14" t="n"/>
      <c r="G50" s="14" t="n"/>
      <c r="H50" s="15">
        <f>IFERROR(IF(ISNUMBER(G50),(G50*12)/D50-1,IF(ISNUMBER(F50),F50/D50-1,IF(ISNUMBER(E50),E50,IF(ISNUMBER(C15),C15,0)))),0)</f>
        <v/>
      </c>
      <c r="I50" s="12">
        <f>IF(ISNUMBER(G50),G50*12,IF(ISNUMBER(F50),F50,D50*(1+IF(ISNUMBER(E50),E50,IF(ISNUMBER(C15),C15,0)))))</f>
        <v/>
      </c>
    </row>
    <row r="51">
      <c r="B51" s="8" t="inlineStr">
        <is>
          <t>Contrato Manutenção ETE</t>
        </is>
      </c>
      <c r="C51" s="2" t="inlineStr">
        <is>
          <t>Manutenção</t>
        </is>
      </c>
      <c r="D51" s="12">
        <f>'Previsao Anual'!C47</f>
        <v/>
      </c>
      <c r="E51" s="13" t="n"/>
      <c r="F51" s="14" t="n"/>
      <c r="G51" s="14" t="n"/>
      <c r="H51" s="15">
        <f>IFERROR(IF(ISNUMBER(G51),(G51*12)/D51-1,IF(ISNUMBER(F51),F51/D51-1,IF(ISNUMBER(E51),E51,IF(ISNUMBER(C15),C15,0)))),0)</f>
        <v/>
      </c>
      <c r="I51" s="12">
        <f>IF(ISNUMBER(G51),G51*12,IF(ISNUMBER(F51),F51,D51*(1+IF(ISNUMBER(E51),E51,IF(ISNUMBER(C15),C15,0)))))</f>
        <v/>
      </c>
    </row>
    <row r="52">
      <c r="B52" s="8" t="inlineStr">
        <is>
          <t>Material de Limpeza</t>
        </is>
      </c>
      <c r="C52" s="2" t="inlineStr">
        <is>
          <t>Aquisição de Materiais</t>
        </is>
      </c>
      <c r="D52" s="12">
        <f>'Previsao Anual'!C51</f>
        <v/>
      </c>
      <c r="E52" s="13" t="n"/>
      <c r="F52" s="14" t="n"/>
      <c r="G52" s="14" t="n"/>
      <c r="H52" s="15">
        <f>IFERROR(IF(ISNUMBER(G52),(G52*12)/D52-1,IF(ISNUMBER(F52),F52/D52-1,IF(ISNUMBER(E52),E52,IF(ISNUMBER(C16),C16,0)))),0)</f>
        <v/>
      </c>
      <c r="I52" s="12">
        <f>IF(ISNUMBER(G52),G52*12,IF(ISNUMBER(F52),F52,D52*(1+IF(ISNUMBER(E52),E52,IF(ISNUMBER(C16),C16,0)))))</f>
        <v/>
      </c>
    </row>
    <row r="53">
      <c r="B53" s="8" t="inlineStr">
        <is>
          <t>Material Elétrico</t>
        </is>
      </c>
      <c r="C53" s="2" t="inlineStr">
        <is>
          <t>Aquisição de Materiais</t>
        </is>
      </c>
      <c r="D53" s="12">
        <f>'Previsao Anual'!C52</f>
        <v/>
      </c>
      <c r="E53" s="13" t="n"/>
      <c r="F53" s="14" t="n"/>
      <c r="G53" s="14" t="n"/>
      <c r="H53" s="15">
        <f>IFERROR(IF(ISNUMBER(G53),(G53*12)/D53-1,IF(ISNUMBER(F53),F53/D53-1,IF(ISNUMBER(E53),E53,IF(ISNUMBER(C16),C16,0)))),0)</f>
        <v/>
      </c>
      <c r="I53" s="12">
        <f>IF(ISNUMBER(G53),G53*12,IF(ISNUMBER(F53),F53,D53*(1+IF(ISNUMBER(E53),E53,IF(ISNUMBER(C16),C16,0)))))</f>
        <v/>
      </c>
    </row>
    <row r="54">
      <c r="B54" s="8" t="inlineStr">
        <is>
          <t>Material Hidráulico</t>
        </is>
      </c>
      <c r="C54" s="2" t="inlineStr">
        <is>
          <t>Aquisição de Materiais</t>
        </is>
      </c>
      <c r="D54" s="12">
        <f>'Previsao Anual'!C53</f>
        <v/>
      </c>
      <c r="E54" s="13" t="n"/>
      <c r="F54" s="14" t="n"/>
      <c r="G54" s="14" t="n"/>
      <c r="H54" s="15">
        <f>IFERROR(IF(ISNUMBER(G54),(G54*12)/D54-1,IF(ISNUMBER(F54),F54/D54-1,IF(ISNUMBER(E54),E54,IF(ISNUMBER(C16),C16,0)))),0)</f>
        <v/>
      </c>
      <c r="I54" s="12">
        <f>IF(ISNUMBER(G54),G54*12,IF(ISNUMBER(F54),F54,D54*(1+IF(ISNUMBER(E54),E54,IF(ISNUMBER(C16),C16,0)))))</f>
        <v/>
      </c>
    </row>
    <row r="55">
      <c r="B55" s="8" t="inlineStr">
        <is>
          <t>Material de Segurança Eletrônica</t>
        </is>
      </c>
      <c r="C55" s="2" t="inlineStr">
        <is>
          <t>Aquisição de Materiais</t>
        </is>
      </c>
      <c r="D55" s="12">
        <f>'Previsao Anual'!C54</f>
        <v/>
      </c>
      <c r="E55" s="13" t="n"/>
      <c r="F55" s="14" t="n"/>
      <c r="G55" s="14" t="n"/>
      <c r="H55" s="15">
        <f>IFERROR(IF(ISNUMBER(G55),(G55*12)/D55-1,IF(ISNUMBER(F55),F55/D55-1,IF(ISNUMBER(E55),E55,IF(ISNUMBER(C16),C16,0)))),0)</f>
        <v/>
      </c>
      <c r="I55" s="12">
        <f>IF(ISNUMBER(G55),G55*12,IF(ISNUMBER(F55),F55,D55*(1+IF(ISNUMBER(E55),E55,IF(ISNUMBER(C16),C16,0)))))</f>
        <v/>
      </c>
    </row>
    <row r="56">
      <c r="B56" s="8" t="inlineStr">
        <is>
          <t>Material de Pintura</t>
        </is>
      </c>
      <c r="C56" s="2" t="inlineStr">
        <is>
          <t>Aquisição de Materiais</t>
        </is>
      </c>
      <c r="D56" s="12">
        <f>'Previsao Anual'!C55</f>
        <v/>
      </c>
      <c r="E56" s="13" t="n"/>
      <c r="F56" s="14" t="n"/>
      <c r="G56" s="14" t="n"/>
      <c r="H56" s="15">
        <f>IFERROR(IF(ISNUMBER(G56),(G56*12)/D56-1,IF(ISNUMBER(F56),F56/D56-1,IF(ISNUMBER(E56),E56,IF(ISNUMBER(C16),C16,0)))),0)</f>
        <v/>
      </c>
      <c r="I56" s="12">
        <f>IF(ISNUMBER(G56),G56*12,IF(ISNUMBER(F56),F56,D56*(1+IF(ISNUMBER(E56),E56,IF(ISNUMBER(C16),C16,0)))))</f>
        <v/>
      </c>
    </row>
    <row r="57">
      <c r="B57" s="8" t="inlineStr">
        <is>
          <t>Material de Construção-Ferramentas</t>
        </is>
      </c>
      <c r="C57" s="2" t="inlineStr">
        <is>
          <t>Aquisição de Materiais</t>
        </is>
      </c>
      <c r="D57" s="12">
        <f>'Previsao Anual'!C56</f>
        <v/>
      </c>
      <c r="E57" s="13" t="n"/>
      <c r="F57" s="14" t="n"/>
      <c r="G57" s="14" t="n"/>
      <c r="H57" s="15">
        <f>IFERROR(IF(ISNUMBER(G57),(G57*12)/D57-1,IF(ISNUMBER(F57),F57/D57-1,IF(ISNUMBER(E57),E57,IF(ISNUMBER(C16),C16,0)))),0)</f>
        <v/>
      </c>
      <c r="I57" s="12">
        <f>IF(ISNUMBER(G57),G57*12,IF(ISNUMBER(F57),F57,D57*(1+IF(ISNUMBER(E57),E57,IF(ISNUMBER(C16),C16,0)))))</f>
        <v/>
      </c>
    </row>
    <row r="58">
      <c r="B58" s="8" t="inlineStr">
        <is>
          <t>Material de Uso e Consumo Condomínio</t>
        </is>
      </c>
      <c r="C58" s="2" t="inlineStr">
        <is>
          <t>Aquisição de Materiais</t>
        </is>
      </c>
      <c r="D58" s="12">
        <f>'Previsao Anual'!C57</f>
        <v/>
      </c>
      <c r="E58" s="13" t="n"/>
      <c r="F58" s="14" t="n"/>
      <c r="G58" s="14" t="n"/>
      <c r="H58" s="15">
        <f>IFERROR(IF(ISNUMBER(G58),(G58*12)/D58-1,IF(ISNUMBER(F58),F58/D58-1,IF(ISNUMBER(E58),E58,IF(ISNUMBER(C16),C16,0)))),0)</f>
        <v/>
      </c>
      <c r="I58" s="12">
        <f>IF(ISNUMBER(G58),G58*12,IF(ISNUMBER(F58),F58,D58*(1+IF(ISNUMBER(E58),E58,IF(ISNUMBER(C16),C16,0)))))</f>
        <v/>
      </c>
    </row>
    <row r="59">
      <c r="B59" s="8" t="inlineStr">
        <is>
          <t>Material de Confraternização-Festa</t>
        </is>
      </c>
      <c r="C59" s="2" t="inlineStr">
        <is>
          <t>Aquisição de Materiais</t>
        </is>
      </c>
      <c r="D59" s="12">
        <f>'Previsao Anual'!C58</f>
        <v/>
      </c>
      <c r="E59" s="13" t="n"/>
      <c r="F59" s="14" t="n"/>
      <c r="G59" s="14" t="n"/>
      <c r="H59" s="15">
        <f>IFERROR(IF(ISNUMBER(G59),(G59*12)/D59-1,IF(ISNUMBER(F59),F59/D59-1,IF(ISNUMBER(E59),E59,IF(ISNUMBER(C16),C16,0)))),0)</f>
        <v/>
      </c>
      <c r="I59" s="12">
        <f>IF(ISNUMBER(G59),G59*12,IF(ISNUMBER(F59),F59,D59*(1+IF(ISNUMBER(E59),E59,IF(ISNUMBER(C16),C16,0)))))</f>
        <v/>
      </c>
    </row>
    <row r="60">
      <c r="B60" s="8" t="inlineStr">
        <is>
          <t>Material de Informática</t>
        </is>
      </c>
      <c r="C60" s="2" t="inlineStr">
        <is>
          <t>Aquisição de Materiais</t>
        </is>
      </c>
      <c r="D60" s="12">
        <f>'Previsao Anual'!C59</f>
        <v/>
      </c>
      <c r="E60" s="13" t="n"/>
      <c r="F60" s="14" t="n"/>
      <c r="G60" s="14" t="n"/>
      <c r="H60" s="15">
        <f>IFERROR(IF(ISNUMBER(G60),(G60*12)/D60-1,IF(ISNUMBER(F60),F60/D60-1,IF(ISNUMBER(E60),E60,IF(ISNUMBER(C16),C16,0)))),0)</f>
        <v/>
      </c>
      <c r="I60" s="12">
        <f>IF(ISNUMBER(G60),G60*12,IF(ISNUMBER(F60),F60,D60*(1+IF(ISNUMBER(E60),E60,IF(ISNUMBER(C16),C16,0)))))</f>
        <v/>
      </c>
    </row>
    <row r="61">
      <c r="B61" s="8" t="inlineStr">
        <is>
          <t>Material de Academia</t>
        </is>
      </c>
      <c r="C61" s="2" t="inlineStr">
        <is>
          <t>Aquisição de Materiais</t>
        </is>
      </c>
      <c r="D61" s="12">
        <f>'Previsao Anual'!C60</f>
        <v/>
      </c>
      <c r="E61" s="13" t="n"/>
      <c r="F61" s="14" t="n"/>
      <c r="G61" s="14" t="n"/>
      <c r="H61" s="15">
        <f>IFERROR(IF(ISNUMBER(G61),(G61*12)/D61-1,IF(ISNUMBER(F61),F61/D61-1,IF(ISNUMBER(E61),E61,IF(ISNUMBER(C16),C16,0)))),0)</f>
        <v/>
      </c>
      <c r="I61" s="12">
        <f>IF(ISNUMBER(G61),G61*12,IF(ISNUMBER(F61),F61,D61*(1+IF(ISNUMBER(E61),E61,IF(ISNUMBER(C16),C16,0)))))</f>
        <v/>
      </c>
    </row>
    <row r="62">
      <c r="B62" s="8" t="inlineStr">
        <is>
          <t>Material de Piscina</t>
        </is>
      </c>
      <c r="C62" s="2" t="inlineStr">
        <is>
          <t>Aquisição de Materiais</t>
        </is>
      </c>
      <c r="D62" s="12">
        <f>'Previsao Anual'!C61</f>
        <v/>
      </c>
      <c r="E62" s="13" t="n"/>
      <c r="F62" s="14" t="n"/>
      <c r="G62" s="14" t="n"/>
      <c r="H62" s="15">
        <f>IFERROR(IF(ISNUMBER(G62),(G62*12)/D62-1,IF(ISNUMBER(F62),F62/D62-1,IF(ISNUMBER(E62),E62,IF(ISNUMBER(C16),C16,0)))),0)</f>
        <v/>
      </c>
      <c r="I62" s="12">
        <f>IF(ISNUMBER(G62),G62*12,IF(ISNUMBER(F62),F62,D62*(1+IF(ISNUMBER(E62),E62,IF(ISNUMBER(C16),C16,0)))))</f>
        <v/>
      </c>
    </row>
    <row r="63">
      <c r="B63" s="8" t="inlineStr">
        <is>
          <t>Material Área de Lazer</t>
        </is>
      </c>
      <c r="C63" s="2" t="inlineStr">
        <is>
          <t>Aquisição de Materiais</t>
        </is>
      </c>
      <c r="D63" s="12">
        <f>'Previsao Anual'!C62</f>
        <v/>
      </c>
      <c r="E63" s="13" t="n"/>
      <c r="F63" s="14" t="n"/>
      <c r="G63" s="14" t="n"/>
      <c r="H63" s="15">
        <f>IFERROR(IF(ISNUMBER(G63),(G63*12)/D63-1,IF(ISNUMBER(F63),F63/D63-1,IF(ISNUMBER(E63),E63,IF(ISNUMBER(C16),C16,0)))),0)</f>
        <v/>
      </c>
      <c r="I63" s="12">
        <f>IF(ISNUMBER(G63),G63*12,IF(ISNUMBER(F63),F63,D63*(1+IF(ISNUMBER(E63),E63,IF(ISNUMBER(C16),C16,0)))))</f>
        <v/>
      </c>
    </row>
    <row r="64">
      <c r="B64" s="8" t="inlineStr">
        <is>
          <t>Tags - Controle de Acesso</t>
        </is>
      </c>
      <c r="C64" s="2" t="inlineStr">
        <is>
          <t>Aquisição de Materiais</t>
        </is>
      </c>
      <c r="D64" s="12">
        <f>'Previsao Anual'!C63</f>
        <v/>
      </c>
      <c r="E64" s="13" t="n"/>
      <c r="F64" s="14" t="n"/>
      <c r="G64" s="14" t="n"/>
      <c r="H64" s="15">
        <f>IFERROR(IF(ISNUMBER(G64),(G64*12)/D64-1,IF(ISNUMBER(F64),F64/D64-1,IF(ISNUMBER(E64),E64,IF(ISNUMBER(C16),C16,0)))),0)</f>
        <v/>
      </c>
      <c r="I64" s="12">
        <f>IF(ISNUMBER(G64),G64*12,IF(ISNUMBER(F64),F64,D64*(1+IF(ISNUMBER(E64),E64,IF(ISNUMBER(C16),C16,0)))))</f>
        <v/>
      </c>
    </row>
    <row r="65">
      <c r="B65" s="8" t="inlineStr">
        <is>
          <t>Material para Portão</t>
        </is>
      </c>
      <c r="C65" s="2" t="inlineStr">
        <is>
          <t>Aquisição de Materiais</t>
        </is>
      </c>
      <c r="D65" s="12">
        <f>'Previsao Anual'!C64</f>
        <v/>
      </c>
      <c r="E65" s="13" t="n"/>
      <c r="F65" s="14" t="n"/>
      <c r="G65" s="14" t="n"/>
      <c r="H65" s="15">
        <f>IFERROR(IF(ISNUMBER(G65),(G65*12)/D65-1,IF(ISNUMBER(F65),F65/D65-1,IF(ISNUMBER(E65),E65,IF(ISNUMBER(C16),C16,0)))),0)</f>
        <v/>
      </c>
      <c r="I65" s="12">
        <f>IF(ISNUMBER(G65),G65*12,IF(ISNUMBER(F65),F65,D65*(1+IF(ISNUMBER(E65),E65,IF(ISNUMBER(C16),C16,0)))))</f>
        <v/>
      </c>
    </row>
    <row r="66">
      <c r="B66" s="8" t="inlineStr">
        <is>
          <t>Material de Decoração</t>
        </is>
      </c>
      <c r="C66" s="2" t="inlineStr">
        <is>
          <t>Aquisição de Materiais</t>
        </is>
      </c>
      <c r="D66" s="12">
        <f>'Previsao Anual'!C65</f>
        <v/>
      </c>
      <c r="E66" s="13" t="n"/>
      <c r="F66" s="14" t="n"/>
      <c r="G66" s="14" t="n"/>
      <c r="H66" s="15">
        <f>IFERROR(IF(ISNUMBER(G66),(G66*12)/D66-1,IF(ISNUMBER(F66),F66/D66-1,IF(ISNUMBER(E66),E66,IF(ISNUMBER(C16),C16,0)))),0)</f>
        <v/>
      </c>
      <c r="I66" s="12">
        <f>IF(ISNUMBER(G66),G66*12,IF(ISNUMBER(F66),F66,D66*(1+IF(ISNUMBER(E66),E66,IF(ISNUMBER(C16),C16,0)))))</f>
        <v/>
      </c>
    </row>
    <row r="67">
      <c r="B67" s="8" t="inlineStr">
        <is>
          <t>Material Salão de Festas</t>
        </is>
      </c>
      <c r="C67" s="2" t="inlineStr">
        <is>
          <t>Aquisição de Materiais</t>
        </is>
      </c>
      <c r="D67" s="12">
        <f>'Previsao Anual'!C66</f>
        <v/>
      </c>
      <c r="E67" s="13" t="n"/>
      <c r="F67" s="14" t="n"/>
      <c r="G67" s="14" t="n"/>
      <c r="H67" s="15">
        <f>IFERROR(IF(ISNUMBER(G67),(G67*12)/D67-1,IF(ISNUMBER(F67),F67/D67-1,IF(ISNUMBER(E67),E67,IF(ISNUMBER(C16),C16,0)))),0)</f>
        <v/>
      </c>
      <c r="I67" s="12">
        <f>IF(ISNUMBER(G67),G67*12,IF(ISNUMBER(F67),F67,D67*(1+IF(ISNUMBER(E67),E67,IF(ISNUMBER(C16),C16,0)))))</f>
        <v/>
      </c>
    </row>
    <row r="68">
      <c r="B68" s="8" t="inlineStr">
        <is>
          <t>Material de Interfone</t>
        </is>
      </c>
      <c r="C68" s="2" t="inlineStr">
        <is>
          <t>Aquisição de Materiais</t>
        </is>
      </c>
      <c r="D68" s="12">
        <f>'Previsao Anual'!C67</f>
        <v/>
      </c>
      <c r="E68" s="13" t="n"/>
      <c r="F68" s="14" t="n"/>
      <c r="G68" s="14" t="n"/>
      <c r="H68" s="15">
        <f>IFERROR(IF(ISNUMBER(G68),(G68*12)/D68-1,IF(ISNUMBER(F68),F68/D68-1,IF(ISNUMBER(E68),E68,IF(ISNUMBER(C16),C16,0)))),0)</f>
        <v/>
      </c>
      <c r="I68" s="12">
        <f>IF(ISNUMBER(G68),G68*12,IF(ISNUMBER(F68),F68,D68*(1+IF(ISNUMBER(E68),E68,IF(ISNUMBER(C16),C16,0)))))</f>
        <v/>
      </c>
    </row>
    <row r="69">
      <c r="B69" s="8" t="inlineStr">
        <is>
          <t>Ferramentas-materiais para manutenção</t>
        </is>
      </c>
      <c r="C69" s="2" t="inlineStr">
        <is>
          <t>Aquisição de Materiais</t>
        </is>
      </c>
      <c r="D69" s="12">
        <f>'Previsao Anual'!C68</f>
        <v/>
      </c>
      <c r="E69" s="13" t="n"/>
      <c r="F69" s="14" t="n"/>
      <c r="G69" s="14" t="n"/>
      <c r="H69" s="15">
        <f>IFERROR(IF(ISNUMBER(G69),(G69*12)/D69-1,IF(ISNUMBER(F69),F69/D69-1,IF(ISNUMBER(E69),E69,IF(ISNUMBER(C16),C16,0)))),0)</f>
        <v/>
      </c>
      <c r="I69" s="12">
        <f>IF(ISNUMBER(G69),G69*12,IF(ISNUMBER(F69),F69,D69*(1+IF(ISNUMBER(E69),E69,IF(ISNUMBER(C16),C16,0)))))</f>
        <v/>
      </c>
    </row>
    <row r="70">
      <c r="B70" s="8" t="inlineStr">
        <is>
          <t>Material de Sinalização</t>
        </is>
      </c>
      <c r="C70" s="2" t="inlineStr">
        <is>
          <t>Aquisição de Materiais</t>
        </is>
      </c>
      <c r="D70" s="12">
        <f>'Previsao Anual'!C69</f>
        <v/>
      </c>
      <c r="E70" s="13" t="n"/>
      <c r="F70" s="14" t="n"/>
      <c r="G70" s="14" t="n"/>
      <c r="H70" s="15">
        <f>IFERROR(IF(ISNUMBER(G70),(G70*12)/D70-1,IF(ISNUMBER(F70),F70/D70-1,IF(ISNUMBER(E70),E70,IF(ISNUMBER(C16),C16,0)))),0)</f>
        <v/>
      </c>
      <c r="I70" s="12">
        <f>IF(ISNUMBER(G70),G70*12,IF(ISNUMBER(F70),F70,D70*(1+IF(ISNUMBER(E70),E70,IF(ISNUMBER(C16),C16,0)))))</f>
        <v/>
      </c>
    </row>
    <row r="71">
      <c r="B71" s="8" t="inlineStr">
        <is>
          <t>Material de Extintor</t>
        </is>
      </c>
      <c r="C71" s="2" t="inlineStr">
        <is>
          <t>Aquisição de Materiais</t>
        </is>
      </c>
      <c r="D71" s="12">
        <f>'Previsao Anual'!C70</f>
        <v/>
      </c>
      <c r="E71" s="13" t="n"/>
      <c r="F71" s="14" t="n"/>
      <c r="G71" s="14" t="n"/>
      <c r="H71" s="15">
        <f>IFERROR(IF(ISNUMBER(G71),(G71*12)/D71-1,IF(ISNUMBER(F71),F71/D71-1,IF(ISNUMBER(E71),E71,IF(ISNUMBER(C16),C16,0)))),0)</f>
        <v/>
      </c>
      <c r="I71" s="12">
        <f>IF(ISNUMBER(G71),G71*12,IF(ISNUMBER(F71),F71,D71*(1+IF(ISNUMBER(E71),E71,IF(ISNUMBER(C16),C16,0)))))</f>
        <v/>
      </c>
    </row>
    <row r="72">
      <c r="B72" s="8" t="inlineStr">
        <is>
          <t>Seguro Condominial</t>
        </is>
      </c>
      <c r="C72" s="2" t="inlineStr">
        <is>
          <t>Serviços</t>
        </is>
      </c>
      <c r="D72" s="12">
        <f>'Previsao Anual'!C74</f>
        <v/>
      </c>
      <c r="E72" s="13" t="n"/>
      <c r="F72" s="14" t="n"/>
      <c r="G72" s="14" t="n"/>
      <c r="H72" s="15">
        <f>IFERROR(IF(ISNUMBER(G72),(G72*12)/D72-1,IF(ISNUMBER(F72),F72/D72-1,IF(ISNUMBER(E72),E72,IF(ISNUMBER(C17),C17,0)))),0)</f>
        <v/>
      </c>
      <c r="I72" s="12">
        <f>IF(ISNUMBER(G72),G72*12,IF(ISNUMBER(F72),F72,D72*(1+IF(ISNUMBER(E72),E72,IF(ISNUMBER(C17),C17,0)))))</f>
        <v/>
      </c>
    </row>
    <row r="73">
      <c r="B73" s="8" t="inlineStr">
        <is>
          <t>Serviço de Pintura</t>
        </is>
      </c>
      <c r="C73" s="2" t="inlineStr">
        <is>
          <t>Serviços</t>
        </is>
      </c>
      <c r="D73" s="12">
        <f>'Previsao Anual'!C75</f>
        <v/>
      </c>
      <c r="E73" s="13" t="n"/>
      <c r="F73" s="14" t="n"/>
      <c r="G73" s="14" t="n"/>
      <c r="H73" s="15">
        <f>IFERROR(IF(ISNUMBER(G73),(G73*12)/D73-1,IF(ISNUMBER(F73),F73/D73-1,IF(ISNUMBER(E73),E73,IF(ISNUMBER(C17),C17,0)))),0)</f>
        <v/>
      </c>
      <c r="I73" s="12">
        <f>IF(ISNUMBER(G73),G73*12,IF(ISNUMBER(F73),F73,D73*(1+IF(ISNUMBER(E73),E73,IF(ISNUMBER(C17),C17,0)))))</f>
        <v/>
      </c>
    </row>
    <row r="74">
      <c r="B74" s="8" t="inlineStr">
        <is>
          <t>Serviço Elétrico</t>
        </is>
      </c>
      <c r="C74" s="2" t="inlineStr">
        <is>
          <t>Serviços</t>
        </is>
      </c>
      <c r="D74" s="12">
        <f>'Previsao Anual'!C76</f>
        <v/>
      </c>
      <c r="E74" s="13" t="n"/>
      <c r="F74" s="14" t="n"/>
      <c r="G74" s="14" t="n"/>
      <c r="H74" s="15">
        <f>IFERROR(IF(ISNUMBER(G74),(G74*12)/D74-1,IF(ISNUMBER(F74),F74/D74-1,IF(ISNUMBER(E74),E74,IF(ISNUMBER(C17),C17,0)))),0)</f>
        <v/>
      </c>
      <c r="I74" s="12">
        <f>IF(ISNUMBER(G74),G74*12,IF(ISNUMBER(F74),F74,D74*(1+IF(ISNUMBER(E74),E74,IF(ISNUMBER(C17),C17,0)))))</f>
        <v/>
      </c>
    </row>
    <row r="75">
      <c r="B75" s="8" t="inlineStr">
        <is>
          <t>Serviço de Engenharia</t>
        </is>
      </c>
      <c r="C75" s="2" t="inlineStr">
        <is>
          <t>Serviços</t>
        </is>
      </c>
      <c r="D75" s="12">
        <f>'Previsao Anual'!C77</f>
        <v/>
      </c>
      <c r="E75" s="13" t="n"/>
      <c r="F75" s="14" t="n"/>
      <c r="G75" s="14" t="n"/>
      <c r="H75" s="15">
        <f>IFERROR(IF(ISNUMBER(G75),(G75*12)/D75-1,IF(ISNUMBER(F75),F75/D75-1,IF(ISNUMBER(E75),E75,IF(ISNUMBER(C17),C17,0)))),0)</f>
        <v/>
      </c>
      <c r="I75" s="12">
        <f>IF(ISNUMBER(G75),G75*12,IF(ISNUMBER(F75),F75,D75*(1+IF(ISNUMBER(E75),E75,IF(ISNUMBER(C17),C17,0)))))</f>
        <v/>
      </c>
    </row>
    <row r="76">
      <c r="B76" s="8" t="inlineStr">
        <is>
          <t>Serviço de Desinsetização</t>
        </is>
      </c>
      <c r="C76" s="2" t="inlineStr">
        <is>
          <t>Serviços</t>
        </is>
      </c>
      <c r="D76" s="12">
        <f>'Previsao Anual'!C78</f>
        <v/>
      </c>
      <c r="E76" s="13" t="n"/>
      <c r="F76" s="14" t="n"/>
      <c r="G76" s="14" t="n"/>
      <c r="H76" s="15">
        <f>IFERROR(IF(ISNUMBER(G76),(G76*12)/D76-1,IF(ISNUMBER(F76),F76/D76-1,IF(ISNUMBER(E76),E76,IF(ISNUMBER(C17),C17,0)))),0)</f>
        <v/>
      </c>
      <c r="I76" s="12">
        <f>IF(ISNUMBER(G76),G76*12,IF(ISNUMBER(F76),F76,D76*(1+IF(ISNUMBER(E76),E76,IF(ISNUMBER(C17),C17,0)))))</f>
        <v/>
      </c>
    </row>
    <row r="77">
      <c r="B77" s="8" t="inlineStr">
        <is>
          <t>Serviço Gráficos</t>
        </is>
      </c>
      <c r="C77" s="2" t="inlineStr">
        <is>
          <t>Serviços</t>
        </is>
      </c>
      <c r="D77" s="12">
        <f>'Previsao Anual'!C79</f>
        <v/>
      </c>
      <c r="E77" s="13" t="n"/>
      <c r="F77" s="14" t="n"/>
      <c r="G77" s="14" t="n"/>
      <c r="H77" s="15">
        <f>IFERROR(IF(ISNUMBER(G77),(G77*12)/D77-1,IF(ISNUMBER(F77),F77/D77-1,IF(ISNUMBER(E77),E77,IF(ISNUMBER(C17),C17,0)))),0)</f>
        <v/>
      </c>
      <c r="I77" s="12">
        <f>IF(ISNUMBER(G77),G77*12,IF(ISNUMBER(F77),F77,D77*(1+IF(ISNUMBER(E77),E77,IF(ISNUMBER(C17),C17,0)))))</f>
        <v/>
      </c>
    </row>
    <row r="78">
      <c r="B78" s="8" t="inlineStr">
        <is>
          <t>Serviço de Locação</t>
        </is>
      </c>
      <c r="C78" s="2" t="inlineStr">
        <is>
          <t>Serviços</t>
        </is>
      </c>
      <c r="D78" s="12">
        <f>'Previsao Anual'!C80</f>
        <v/>
      </c>
      <c r="E78" s="13" t="n"/>
      <c r="F78" s="14" t="n"/>
      <c r="G78" s="14" t="n"/>
      <c r="H78" s="15">
        <f>IFERROR(IF(ISNUMBER(G78),(G78*12)/D78-1,IF(ISNUMBER(F78),F78/D78-1,IF(ISNUMBER(E78),E78,IF(ISNUMBER(C17),C17,0)))),0)</f>
        <v/>
      </c>
      <c r="I78" s="12">
        <f>IF(ISNUMBER(G78),G78*12,IF(ISNUMBER(F78),F78,D78*(1+IF(ISNUMBER(E78),E78,IF(ISNUMBER(C17),C17,0)))))</f>
        <v/>
      </c>
    </row>
    <row r="79">
      <c r="B79" s="8" t="inlineStr">
        <is>
          <t>Serviço de Chaveiro</t>
        </is>
      </c>
      <c r="C79" s="2" t="inlineStr">
        <is>
          <t>Serviços</t>
        </is>
      </c>
      <c r="D79" s="12">
        <f>'Previsao Anual'!C81</f>
        <v/>
      </c>
      <c r="E79" s="13" t="n"/>
      <c r="F79" s="14" t="n"/>
      <c r="G79" s="14" t="n"/>
      <c r="H79" s="15">
        <f>IFERROR(IF(ISNUMBER(G79),(G79*12)/D79-1,IF(ISNUMBER(F79),F79/D79-1,IF(ISNUMBER(E79),E79,IF(ISNUMBER(C17),C17,0)))),0)</f>
        <v/>
      </c>
      <c r="I79" s="12">
        <f>IF(ISNUMBER(G79),G79*12,IF(ISNUMBER(F79),F79,D79*(1+IF(ISNUMBER(E79),E79,IF(ISNUMBER(C17),C17,0)))))</f>
        <v/>
      </c>
    </row>
    <row r="80">
      <c r="B80" s="8" t="inlineStr">
        <is>
          <t>Serviço de Serralheria</t>
        </is>
      </c>
      <c r="C80" s="2" t="inlineStr">
        <is>
          <t>Serviços</t>
        </is>
      </c>
      <c r="D80" s="12">
        <f>'Previsao Anual'!C82</f>
        <v/>
      </c>
      <c r="E80" s="13" t="n"/>
      <c r="F80" s="14" t="n"/>
      <c r="G80" s="14" t="n"/>
      <c r="H80" s="15">
        <f>IFERROR(IF(ISNUMBER(G80),(G80*12)/D80-1,IF(ISNUMBER(F80),F80/D80-1,IF(ISNUMBER(E80),E80,IF(ISNUMBER(C17),C17,0)))),0)</f>
        <v/>
      </c>
      <c r="I80" s="12">
        <f>IF(ISNUMBER(G80),G80*12,IF(ISNUMBER(F80),F80,D80*(1+IF(ISNUMBER(E80),E80,IF(ISNUMBER(C17),C17,0)))))</f>
        <v/>
      </c>
    </row>
    <row r="81">
      <c r="B81" s="8" t="inlineStr">
        <is>
          <t>Serviço Hidráulico</t>
        </is>
      </c>
      <c r="C81" s="2" t="inlineStr">
        <is>
          <t>Serviços</t>
        </is>
      </c>
      <c r="D81" s="12">
        <f>'Previsao Anual'!C83</f>
        <v/>
      </c>
      <c r="E81" s="13" t="n"/>
      <c r="F81" s="14" t="n"/>
      <c r="G81" s="14" t="n"/>
      <c r="H81" s="15">
        <f>IFERROR(IF(ISNUMBER(G81),(G81*12)/D81-1,IF(ISNUMBER(F81),F81/D81-1,IF(ISNUMBER(E81),E81,IF(ISNUMBER(C17),C17,0)))),0)</f>
        <v/>
      </c>
      <c r="I81" s="12">
        <f>IF(ISNUMBER(G81),G81*12,IF(ISNUMBER(F81),F81,D81*(1+IF(ISNUMBER(E81),E81,IF(ISNUMBER(C17),C17,0)))))</f>
        <v/>
      </c>
    </row>
    <row r="82">
      <c r="B82" s="8" t="inlineStr">
        <is>
          <t>Serviço de Informática- Internet</t>
        </is>
      </c>
      <c r="C82" s="2" t="inlineStr">
        <is>
          <t>Serviços</t>
        </is>
      </c>
      <c r="D82" s="12">
        <f>'Previsao Anual'!C84</f>
        <v/>
      </c>
      <c r="E82" s="13" t="n"/>
      <c r="F82" s="14" t="n"/>
      <c r="G82" s="14" t="n"/>
      <c r="H82" s="15">
        <f>IFERROR(IF(ISNUMBER(G82),(G82*12)/D82-1,IF(ISNUMBER(F82),F82/D82-1,IF(ISNUMBER(E82),E82,IF(ISNUMBER(C17),C17,0)))),0)</f>
        <v/>
      </c>
      <c r="I82" s="12">
        <f>IF(ISNUMBER(G82),G82*12,IF(ISNUMBER(F82),F82,D82*(1+IF(ISNUMBER(E82),E82,IF(ISNUMBER(C17),C17,0)))))</f>
        <v/>
      </c>
    </row>
    <row r="83">
      <c r="B83" s="8" t="inlineStr">
        <is>
          <t>Serviço em Portão</t>
        </is>
      </c>
      <c r="C83" s="2" t="inlineStr">
        <is>
          <t>Serviços</t>
        </is>
      </c>
      <c r="D83" s="12">
        <f>'Previsao Anual'!C85</f>
        <v/>
      </c>
      <c r="E83" s="13" t="n"/>
      <c r="F83" s="14" t="n"/>
      <c r="G83" s="14" t="n"/>
      <c r="H83" s="15">
        <f>IFERROR(IF(ISNUMBER(G83),(G83*12)/D83-1,IF(ISNUMBER(F83),F83/D83-1,IF(ISNUMBER(E83),E83,IF(ISNUMBER(C17),C17,0)))),0)</f>
        <v/>
      </c>
      <c r="I83" s="12">
        <f>IF(ISNUMBER(G83),G83*12,IF(ISNUMBER(F83),F83,D83*(1+IF(ISNUMBER(E83),E83,IF(ISNUMBER(C17),C17,0)))))</f>
        <v/>
      </c>
    </row>
    <row r="84">
      <c r="B84" s="8" t="inlineStr">
        <is>
          <t>Serviço de Jardinagem</t>
        </is>
      </c>
      <c r="C84" s="2" t="inlineStr">
        <is>
          <t>Serviços</t>
        </is>
      </c>
      <c r="D84" s="12">
        <f>'Previsao Anual'!C86</f>
        <v/>
      </c>
      <c r="E84" s="13" t="n"/>
      <c r="F84" s="14" t="n"/>
      <c r="G84" s="14" t="n"/>
      <c r="H84" s="15">
        <f>IFERROR(IF(ISNUMBER(G84),(G84*12)/D84-1,IF(ISNUMBER(F84),F84/D84-1,IF(ISNUMBER(E84),E84,IF(ISNUMBER(C17),C17,0)))),0)</f>
        <v/>
      </c>
      <c r="I84" s="12">
        <f>IF(ISNUMBER(G84),G84*12,IF(ISNUMBER(F84),F84,D84*(1+IF(ISNUMBER(E84),E84,IF(ISNUMBER(C17),C17,0)))))</f>
        <v/>
      </c>
    </row>
    <row r="85">
      <c r="B85" s="8" t="inlineStr">
        <is>
          <t>Serviço de Reparo</t>
        </is>
      </c>
      <c r="C85" s="2" t="inlineStr">
        <is>
          <t>Serviços</t>
        </is>
      </c>
      <c r="D85" s="12">
        <f>'Previsao Anual'!C87</f>
        <v/>
      </c>
      <c r="E85" s="13" t="n"/>
      <c r="F85" s="14" t="n"/>
      <c r="G85" s="14" t="n"/>
      <c r="H85" s="15">
        <f>IFERROR(IF(ISNUMBER(G85),(G85*12)/D85-1,IF(ISNUMBER(F85),F85/D85-1,IF(ISNUMBER(E85),E85,IF(ISNUMBER(C17),C17,0)))),0)</f>
        <v/>
      </c>
      <c r="I85" s="12">
        <f>IF(ISNUMBER(G85),G85*12,IF(ISNUMBER(F85),F85,D85*(1+IF(ISNUMBER(E85),E85,IF(ISNUMBER(C17),C17,0)))))</f>
        <v/>
      </c>
    </row>
    <row r="86">
      <c r="B86" s="8" t="inlineStr">
        <is>
          <t>Serviço de Marcenária</t>
        </is>
      </c>
      <c r="C86" s="2" t="inlineStr">
        <is>
          <t>Serviços</t>
        </is>
      </c>
      <c r="D86" s="12">
        <f>'Previsao Anual'!C88</f>
        <v/>
      </c>
      <c r="E86" s="13" t="n"/>
      <c r="F86" s="14" t="n"/>
      <c r="G86" s="14" t="n"/>
      <c r="H86" s="15">
        <f>IFERROR(IF(ISNUMBER(G86),(G86*12)/D86-1,IF(ISNUMBER(F86),F86/D86-1,IF(ISNUMBER(E86),E86,IF(ISNUMBER(C17),C17,0)))),0)</f>
        <v/>
      </c>
      <c r="I86" s="12">
        <f>IF(ISNUMBER(G86),G86*12,IF(ISNUMBER(F86),F86,D86*(1+IF(ISNUMBER(E86),E86,IF(ISNUMBER(C17),C17,0)))))</f>
        <v/>
      </c>
    </row>
    <row r="87">
      <c r="B87" s="8" t="inlineStr">
        <is>
          <t>Serviço de Descupinização</t>
        </is>
      </c>
      <c r="C87" s="2" t="inlineStr">
        <is>
          <t>Serviços</t>
        </is>
      </c>
      <c r="D87" s="12">
        <f>'Previsao Anual'!C89</f>
        <v/>
      </c>
      <c r="E87" s="13" t="n"/>
      <c r="F87" s="14" t="n"/>
      <c r="G87" s="14" t="n"/>
      <c r="H87" s="15">
        <f>IFERROR(IF(ISNUMBER(G87),(G87*12)/D87-1,IF(ISNUMBER(F87),F87/D87-1,IF(ISNUMBER(E87),E87,IF(ISNUMBER(C17),C17,0)))),0)</f>
        <v/>
      </c>
      <c r="I87" s="12">
        <f>IF(ISNUMBER(G87),G87*12,IF(ISNUMBER(F87),F87,D87*(1+IF(ISNUMBER(E87),E87,IF(ISNUMBER(C17),C17,0)))))</f>
        <v/>
      </c>
    </row>
    <row r="88">
      <c r="B88" s="8" t="inlineStr">
        <is>
          <t>Serviço Manutenção</t>
        </is>
      </c>
      <c r="C88" s="2" t="inlineStr">
        <is>
          <t>Serviços</t>
        </is>
      </c>
      <c r="D88" s="12">
        <f>'Previsao Anual'!C90</f>
        <v/>
      </c>
      <c r="E88" s="13" t="n"/>
      <c r="F88" s="14" t="n"/>
      <c r="G88" s="14" t="n"/>
      <c r="H88" s="15">
        <f>IFERROR(IF(ISNUMBER(G88),(G88*12)/D88-1,IF(ISNUMBER(F88),F88/D88-1,IF(ISNUMBER(E88),E88,IF(ISNUMBER(C17),C17,0)))),0)</f>
        <v/>
      </c>
      <c r="I88" s="12">
        <f>IF(ISNUMBER(G88),G88*12,IF(ISNUMBER(F88),F88,D88*(1+IF(ISNUMBER(E88),E88,IF(ISNUMBER(C17),C17,0)))))</f>
        <v/>
      </c>
    </row>
    <row r="89">
      <c r="B89" s="8" t="inlineStr">
        <is>
          <t>Serviço na Área de Lazer</t>
        </is>
      </c>
      <c r="C89" s="2" t="inlineStr">
        <is>
          <t>Serviços</t>
        </is>
      </c>
      <c r="D89" s="12">
        <f>'Previsao Anual'!C91</f>
        <v/>
      </c>
      <c r="E89" s="13" t="n"/>
      <c r="F89" s="14" t="n"/>
      <c r="G89" s="14" t="n"/>
      <c r="H89" s="15">
        <f>IFERROR(IF(ISNUMBER(G89),(G89*12)/D89-1,IF(ISNUMBER(F89),F89/D89-1,IF(ISNUMBER(E89),E89,IF(ISNUMBER(C17),C17,0)))),0)</f>
        <v/>
      </c>
      <c r="I89" s="12">
        <f>IF(ISNUMBER(G89),G89*12,IF(ISNUMBER(F89),F89,D89*(1+IF(ISNUMBER(E89),E89,IF(ISNUMBER(C17),C17,0)))))</f>
        <v/>
      </c>
    </row>
    <row r="90">
      <c r="B90" s="8" t="inlineStr">
        <is>
          <t>Obras-Melhorias</t>
        </is>
      </c>
      <c r="C90" s="2" t="inlineStr">
        <is>
          <t>Serviços</t>
        </is>
      </c>
      <c r="D90" s="12">
        <f>'Previsao Anual'!C92</f>
        <v/>
      </c>
      <c r="E90" s="13" t="n"/>
      <c r="F90" s="14" t="n"/>
      <c r="G90" s="14" t="n"/>
      <c r="H90" s="15">
        <f>IFERROR(IF(ISNUMBER(G90),(G90*12)/D90-1,IF(ISNUMBER(F90),F90/D90-1,IF(ISNUMBER(E90),E90,IF(ISNUMBER(C17),C17,0)))),0)</f>
        <v/>
      </c>
      <c r="I90" s="12">
        <f>IF(ISNUMBER(G90),G90*12,IF(ISNUMBER(F90),F90,D90*(1+IF(ISNUMBER(E90),E90,IF(ISNUMBER(C17),C17,0)))))</f>
        <v/>
      </c>
    </row>
    <row r="91">
      <c r="B91" s="8" t="inlineStr">
        <is>
          <t>Serviço Segurança Eletrônica</t>
        </is>
      </c>
      <c r="C91" s="2" t="inlineStr">
        <is>
          <t>Serviços</t>
        </is>
      </c>
      <c r="D91" s="12">
        <f>'Previsao Anual'!C93</f>
        <v/>
      </c>
      <c r="E91" s="13" t="n"/>
      <c r="F91" s="14" t="n"/>
      <c r="G91" s="14" t="n"/>
      <c r="H91" s="15">
        <f>IFERROR(IF(ISNUMBER(G91),(G91*12)/D91-1,IF(ISNUMBER(F91),F91/D91-1,IF(ISNUMBER(E91),E91,IF(ISNUMBER(C17),C17,0)))),0)</f>
        <v/>
      </c>
      <c r="I91" s="12">
        <f>IF(ISNUMBER(G91),G91*12,IF(ISNUMBER(F91),F91,D91*(1+IF(ISNUMBER(E91),E91,IF(ISNUMBER(C17),C17,0)))))</f>
        <v/>
      </c>
    </row>
    <row r="92">
      <c r="B92" s="8" t="inlineStr">
        <is>
          <t>Serviço de Reparo na bomba</t>
        </is>
      </c>
      <c r="C92" s="2" t="inlineStr">
        <is>
          <t>Serviços</t>
        </is>
      </c>
      <c r="D92" s="12">
        <f>'Previsao Anual'!C94</f>
        <v/>
      </c>
      <c r="E92" s="13" t="n"/>
      <c r="F92" s="14" t="n"/>
      <c r="G92" s="14" t="n"/>
      <c r="H92" s="15">
        <f>IFERROR(IF(ISNUMBER(G92),(G92*12)/D92-1,IF(ISNUMBER(F92),F92/D92-1,IF(ISNUMBER(E92),E92,IF(ISNUMBER(C17),C17,0)))),0)</f>
        <v/>
      </c>
      <c r="I92" s="12">
        <f>IF(ISNUMBER(G92),G92*12,IF(ISNUMBER(F92),F92,D92*(1+IF(ISNUMBER(E92),E92,IF(ISNUMBER(C17),C17,0)))))</f>
        <v/>
      </c>
    </row>
    <row r="93">
      <c r="B93" s="8" t="inlineStr">
        <is>
          <t>Serviço de Vistoria</t>
        </is>
      </c>
      <c r="C93" s="2" t="inlineStr">
        <is>
          <t>Serviços</t>
        </is>
      </c>
      <c r="D93" s="12">
        <f>'Previsao Anual'!C95</f>
        <v/>
      </c>
      <c r="E93" s="13" t="n"/>
      <c r="F93" s="14" t="n"/>
      <c r="G93" s="14" t="n"/>
      <c r="H93" s="15">
        <f>IFERROR(IF(ISNUMBER(G93),(G93*12)/D93-1,IF(ISNUMBER(F93),F93/D93-1,IF(ISNUMBER(E93),E93,IF(ISNUMBER(C17),C17,0)))),0)</f>
        <v/>
      </c>
      <c r="I93" s="12">
        <f>IF(ISNUMBER(G93),G93*12,IF(ISNUMBER(F93),F93,D93*(1+IF(ISNUMBER(E93),E93,IF(ISNUMBER(C17),C17,0)))))</f>
        <v/>
      </c>
    </row>
    <row r="94">
      <c r="B94" s="8" t="inlineStr">
        <is>
          <t>Serviço de Reparo de Elevador</t>
        </is>
      </c>
      <c r="C94" s="2" t="inlineStr">
        <is>
          <t>Serviços</t>
        </is>
      </c>
      <c r="D94" s="12">
        <f>'Previsao Anual'!C96</f>
        <v/>
      </c>
      <c r="E94" s="13" t="n"/>
      <c r="F94" s="14" t="n"/>
      <c r="G94" s="14" t="n"/>
      <c r="H94" s="15">
        <f>IFERROR(IF(ISNUMBER(G94),(G94*12)/D94-1,IF(ISNUMBER(F94),F94/D94-1,IF(ISNUMBER(E94),E94,IF(ISNUMBER(C17),C17,0)))),0)</f>
        <v/>
      </c>
      <c r="I94" s="12">
        <f>IF(ISNUMBER(G94),G94*12,IF(ISNUMBER(F94),F94,D94*(1+IF(ISNUMBER(E94),E94,IF(ISNUMBER(C17),C17,0)))))</f>
        <v/>
      </c>
    </row>
    <row r="95">
      <c r="B95" s="8" t="inlineStr">
        <is>
          <t>Serviço de Manutenção Extintores</t>
        </is>
      </c>
      <c r="C95" s="2" t="inlineStr">
        <is>
          <t>Serviços</t>
        </is>
      </c>
      <c r="D95" s="12">
        <f>'Previsao Anual'!C97</f>
        <v/>
      </c>
      <c r="E95" s="13" t="n"/>
      <c r="F95" s="14" t="n"/>
      <c r="G95" s="14" t="n"/>
      <c r="H95" s="15">
        <f>IFERROR(IF(ISNUMBER(G95),(G95*12)/D95-1,IF(ISNUMBER(F95),F95/D95-1,IF(ISNUMBER(E95),E95,IF(ISNUMBER(C17),C17,0)))),0)</f>
        <v/>
      </c>
      <c r="I95" s="12">
        <f>IF(ISNUMBER(G95),G95*12,IF(ISNUMBER(F95),F95,D95*(1+IF(ISNUMBER(E95),E95,IF(ISNUMBER(C17),C17,0)))))</f>
        <v/>
      </c>
    </row>
    <row r="96">
      <c r="B96" s="8" t="inlineStr">
        <is>
          <t>Serviço Prestados</t>
        </is>
      </c>
      <c r="C96" s="2" t="inlineStr">
        <is>
          <t>Serviços</t>
        </is>
      </c>
      <c r="D96" s="12">
        <f>'Previsao Anual'!C98</f>
        <v/>
      </c>
      <c r="E96" s="13" t="n"/>
      <c r="F96" s="14" t="n"/>
      <c r="G96" s="14" t="n"/>
      <c r="H96" s="15">
        <f>IFERROR(IF(ISNUMBER(G96),(G96*12)/D96-1,IF(ISNUMBER(F96),F96/D96-1,IF(ISNUMBER(E96),E96,IF(ISNUMBER(C17),C17,0)))),0)</f>
        <v/>
      </c>
      <c r="I96" s="12">
        <f>IF(ISNUMBER(G96),G96*12,IF(ISNUMBER(F96),F96,D96*(1+IF(ISNUMBER(E96),E96,IF(ISNUMBER(C17),C17,0)))))</f>
        <v/>
      </c>
    </row>
    <row r="97">
      <c r="B97" s="8" t="inlineStr">
        <is>
          <t>Serviço de Comunicação Visual</t>
        </is>
      </c>
      <c r="C97" s="2" t="inlineStr">
        <is>
          <t>Serviços</t>
        </is>
      </c>
      <c r="D97" s="12">
        <f>'Previsao Anual'!C99</f>
        <v/>
      </c>
      <c r="E97" s="13" t="n"/>
      <c r="F97" s="14" t="n"/>
      <c r="G97" s="14" t="n"/>
      <c r="H97" s="15">
        <f>IFERROR(IF(ISNUMBER(G97),(G97*12)/D97-1,IF(ISNUMBER(F97),F97/D97-1,IF(ISNUMBER(E97),E97,IF(ISNUMBER(C17),C17,0)))),0)</f>
        <v/>
      </c>
      <c r="I97" s="12">
        <f>IF(ISNUMBER(G97),G97*12,IF(ISNUMBER(F97),F97,D97*(1+IF(ISNUMBER(E97),E97,IF(ISNUMBER(C17),C17,0)))))</f>
        <v/>
      </c>
    </row>
    <row r="98">
      <c r="B98" s="8" t="inlineStr">
        <is>
          <t>Serviço de Ar Condicionado</t>
        </is>
      </c>
      <c r="C98" s="2" t="inlineStr">
        <is>
          <t>Serviços</t>
        </is>
      </c>
      <c r="D98" s="12">
        <f>'Previsao Anual'!C100</f>
        <v/>
      </c>
      <c r="E98" s="13" t="n"/>
      <c r="F98" s="14" t="n"/>
      <c r="G98" s="14" t="n"/>
      <c r="H98" s="15">
        <f>IFERROR(IF(ISNUMBER(G98),(G98*12)/D98-1,IF(ISNUMBER(F98),F98/D98-1,IF(ISNUMBER(E98),E98,IF(ISNUMBER(C17),C17,0)))),0)</f>
        <v/>
      </c>
      <c r="I98" s="12">
        <f>IF(ISNUMBER(G98),G98*12,IF(ISNUMBER(F98),F98,D98*(1+IF(ISNUMBER(E98),E98,IF(ISNUMBER(C17),C17,0)))))</f>
        <v/>
      </c>
    </row>
    <row r="99">
      <c r="B99" s="8" t="inlineStr">
        <is>
          <t>Serviço de Frete</t>
        </is>
      </c>
      <c r="C99" s="2" t="inlineStr">
        <is>
          <t>Serviços</t>
        </is>
      </c>
      <c r="D99" s="12">
        <f>'Previsao Anual'!C101</f>
        <v/>
      </c>
      <c r="E99" s="13" t="n"/>
      <c r="F99" s="14" t="n"/>
      <c r="G99" s="14" t="n"/>
      <c r="H99" s="15">
        <f>IFERROR(IF(ISNUMBER(G99),(G99*12)/D99-1,IF(ISNUMBER(F99),F99/D99-1,IF(ISNUMBER(E99),E99,IF(ISNUMBER(C17),C17,0)))),0)</f>
        <v/>
      </c>
      <c r="I99" s="12">
        <f>IF(ISNUMBER(G99),G99*12,IF(ISNUMBER(F99),F99,D99*(1+IF(ISNUMBER(E99),E99,IF(ISNUMBER(C17),C17,0)))))</f>
        <v/>
      </c>
    </row>
    <row r="100">
      <c r="B100" s="8" t="inlineStr">
        <is>
          <t>Serviço de Reforma Móveis e Utensílios</t>
        </is>
      </c>
      <c r="C100" s="2" t="inlineStr">
        <is>
          <t>Serviços</t>
        </is>
      </c>
      <c r="D100" s="12">
        <f>'Previsao Anual'!C102</f>
        <v/>
      </c>
      <c r="E100" s="13" t="n"/>
      <c r="F100" s="14" t="n"/>
      <c r="G100" s="14" t="n"/>
      <c r="H100" s="15">
        <f>IFERROR(IF(ISNUMBER(G100),(G100*12)/D100-1,IF(ISNUMBER(F100),F100/D100-1,IF(ISNUMBER(E100),E100,IF(ISNUMBER(C17),C17,0)))),0)</f>
        <v/>
      </c>
      <c r="I100" s="12">
        <f>IF(ISNUMBER(G100),G100*12,IF(ISNUMBER(F100),F100,D100*(1+IF(ISNUMBER(E100),E100,IF(ISNUMBER(C17),C17,0)))))</f>
        <v/>
      </c>
    </row>
    <row r="101">
      <c r="B101" s="8" t="inlineStr">
        <is>
          <t>Serviço em Aparelho de Academia</t>
        </is>
      </c>
      <c r="C101" s="2" t="inlineStr">
        <is>
          <t>Serviços</t>
        </is>
      </c>
      <c r="D101" s="12">
        <f>'Previsao Anual'!C103</f>
        <v/>
      </c>
      <c r="E101" s="13" t="n"/>
      <c r="F101" s="14" t="n"/>
      <c r="G101" s="14" t="n"/>
      <c r="H101" s="15">
        <f>IFERROR(IF(ISNUMBER(G101),(G101*12)/D101-1,IF(ISNUMBER(F101),F101/D101-1,IF(ISNUMBER(E101),E101,IF(ISNUMBER(C17),C17,0)))),0)</f>
        <v/>
      </c>
      <c r="I101" s="12">
        <f>IF(ISNUMBER(G101),G101*12,IF(ISNUMBER(F101),F101,D101*(1+IF(ISNUMBER(E101),E101,IF(ISNUMBER(C17),C17,0)))))</f>
        <v/>
      </c>
    </row>
    <row r="102">
      <c r="B102" s="8" t="inlineStr">
        <is>
          <t>Serviço Manutenção de Caixa d água</t>
        </is>
      </c>
      <c r="C102" s="2" t="inlineStr">
        <is>
          <t>Serviços</t>
        </is>
      </c>
      <c r="D102" s="12">
        <f>'Previsao Anual'!C104</f>
        <v/>
      </c>
      <c r="E102" s="13" t="n"/>
      <c r="F102" s="14" t="n"/>
      <c r="G102" s="14" t="n"/>
      <c r="H102" s="15">
        <f>IFERROR(IF(ISNUMBER(G102),(G102*12)/D102-1,IF(ISNUMBER(F102),F102/D102-1,IF(ISNUMBER(E102),E102,IF(ISNUMBER(C17),C17,0)))),0)</f>
        <v/>
      </c>
      <c r="I102" s="12">
        <f>IF(ISNUMBER(G102),G102*12,IF(ISNUMBER(F102),F102,D102*(1+IF(ISNUMBER(E102),E102,IF(ISNUMBER(C17),C17,0)))))</f>
        <v/>
      </c>
    </row>
    <row r="103">
      <c r="B103" s="8" t="inlineStr">
        <is>
          <t>Serviço Eletrônico Obra</t>
        </is>
      </c>
      <c r="C103" s="2" t="inlineStr">
        <is>
          <t>Serviços</t>
        </is>
      </c>
      <c r="D103" s="12">
        <f>'Previsao Anual'!C105</f>
        <v/>
      </c>
      <c r="E103" s="13" t="n"/>
      <c r="F103" s="14" t="n"/>
      <c r="G103" s="14" t="n"/>
      <c r="H103" s="15">
        <f>IFERROR(IF(ISNUMBER(G103),(G103*12)/D103-1,IF(ISNUMBER(F103),F103/D103-1,IF(ISNUMBER(E103),E103,IF(ISNUMBER(C17),C17,0)))),0)</f>
        <v/>
      </c>
      <c r="I103" s="12">
        <f>IF(ISNUMBER(G103),G103*12,IF(ISNUMBER(F103),F103,D103*(1+IF(ISNUMBER(E103),E103,IF(ISNUMBER(C17),C17,0)))))</f>
        <v/>
      </c>
    </row>
    <row r="104">
      <c r="B104" s="8" t="inlineStr">
        <is>
          <t>Serviços - Obra Fachada</t>
        </is>
      </c>
      <c r="C104" s="2" t="inlineStr">
        <is>
          <t>Serviços</t>
        </is>
      </c>
      <c r="D104" s="12">
        <f>'Previsao Anual'!C106</f>
        <v/>
      </c>
      <c r="E104" s="13" t="n"/>
      <c r="F104" s="14" t="n"/>
      <c r="G104" s="14" t="n"/>
      <c r="H104" s="15">
        <f>IFERROR(IF(ISNUMBER(G104),(G104*12)/D104-1,IF(ISNUMBER(F104),F104/D104-1,IF(ISNUMBER(E104),E104,IF(ISNUMBER(C17),C17,0)))),0)</f>
        <v/>
      </c>
      <c r="I104" s="12">
        <f>IF(ISNUMBER(G104),G104*12,IF(ISNUMBER(F104),F104,D104*(1+IF(ISNUMBER(E104),E104,IF(ISNUMBER(C17),C17,0)))))</f>
        <v/>
      </c>
    </row>
    <row r="105">
      <c r="B105" s="8" t="inlineStr">
        <is>
          <t>Serviços - Obra Telhado</t>
        </is>
      </c>
      <c r="C105" s="2" t="inlineStr">
        <is>
          <t>Serviços</t>
        </is>
      </c>
      <c r="D105" s="12">
        <f>'Previsao Anual'!C107</f>
        <v/>
      </c>
      <c r="E105" s="13" t="n"/>
      <c r="F105" s="14" t="n"/>
      <c r="G105" s="14" t="n"/>
      <c r="H105" s="15">
        <f>IFERROR(IF(ISNUMBER(G105),(G105*12)/D105-1,IF(ISNUMBER(F105),F105/D105-1,IF(ISNUMBER(E105),E105,IF(ISNUMBER(C17),C17,0)))),0)</f>
        <v/>
      </c>
      <c r="I105" s="12">
        <f>IF(ISNUMBER(G105),G105*12,IF(ISNUMBER(F105),F105,D105*(1+IF(ISNUMBER(E105),E105,IF(ISNUMBER(C17),C17,0)))))</f>
        <v/>
      </c>
    </row>
    <row r="106">
      <c r="B106" s="8" t="inlineStr">
        <is>
          <t>Móveis e Utensílios</t>
        </is>
      </c>
      <c r="C106" s="2" t="inlineStr">
        <is>
          <t>Investimento e Equipamentos</t>
        </is>
      </c>
      <c r="D106" s="12">
        <f>'Previsao Anual'!C111</f>
        <v/>
      </c>
      <c r="E106" s="13" t="n"/>
      <c r="F106" s="14" t="n"/>
      <c r="G106" s="14" t="n"/>
      <c r="H106" s="15">
        <f>IFERROR(IF(ISNUMBER(G106),(G106*12)/D106-1,IF(ISNUMBER(F106),F106/D106-1,IF(ISNUMBER(E106),E106,IF(ISNUMBER(C18),C18,0)))),0)</f>
        <v/>
      </c>
      <c r="I106" s="12">
        <f>IF(ISNUMBER(G106),G106*12,IF(ISNUMBER(F106),F106,D106*(1+IF(ISNUMBER(E106),E106,IF(ISNUMBER(C18),C18,0)))))</f>
        <v/>
      </c>
    </row>
    <row r="107">
      <c r="B107" s="8" t="inlineStr">
        <is>
          <t>Informática</t>
        </is>
      </c>
      <c r="C107" s="2" t="inlineStr">
        <is>
          <t>Investimento e Equipamentos</t>
        </is>
      </c>
      <c r="D107" s="12">
        <f>'Previsao Anual'!C112</f>
        <v/>
      </c>
      <c r="E107" s="13" t="n"/>
      <c r="F107" s="14" t="n"/>
      <c r="G107" s="14" t="n"/>
      <c r="H107" s="15">
        <f>IFERROR(IF(ISNUMBER(G107),(G107*12)/D107-1,IF(ISNUMBER(F107),F107/D107-1,IF(ISNUMBER(E107),E107,IF(ISNUMBER(C18),C18,0)))),0)</f>
        <v/>
      </c>
      <c r="I107" s="12">
        <f>IF(ISNUMBER(G107),G107*12,IF(ISNUMBER(F107),F107,D107*(1+IF(ISNUMBER(E107),E107,IF(ISNUMBER(C18),C18,0)))))</f>
        <v/>
      </c>
    </row>
    <row r="108">
      <c r="B108" s="8" t="inlineStr">
        <is>
          <t>Eletrodoméstico-Eletroeletrônico</t>
        </is>
      </c>
      <c r="C108" s="2" t="inlineStr">
        <is>
          <t>Investimento e Equipamentos</t>
        </is>
      </c>
      <c r="D108" s="12">
        <f>'Previsao Anual'!C113</f>
        <v/>
      </c>
      <c r="E108" s="13" t="n"/>
      <c r="F108" s="14" t="n"/>
      <c r="G108" s="14" t="n"/>
      <c r="H108" s="15">
        <f>IFERROR(IF(ISNUMBER(G108),(G108*12)/D108-1,IF(ISNUMBER(F108),F108/D108-1,IF(ISNUMBER(E108),E108,IF(ISNUMBER(C18),C18,0)))),0)</f>
        <v/>
      </c>
      <c r="I108" s="12">
        <f>IF(ISNUMBER(G108),G108*12,IF(ISNUMBER(F108),F108,D108*(1+IF(ISNUMBER(E108),E108,IF(ISNUMBER(C18),C18,0)))))</f>
        <v/>
      </c>
    </row>
    <row r="109">
      <c r="B109" s="8" t="inlineStr">
        <is>
          <t>Máquinas-Equipamentos</t>
        </is>
      </c>
      <c r="C109" s="2" t="inlineStr">
        <is>
          <t>Investimento e Equipamentos</t>
        </is>
      </c>
      <c r="D109" s="12">
        <f>'Previsao Anual'!C114</f>
        <v/>
      </c>
      <c r="E109" s="13" t="n"/>
      <c r="F109" s="14" t="n"/>
      <c r="G109" s="14" t="n"/>
      <c r="H109" s="15">
        <f>IFERROR(IF(ISNUMBER(G109),(G109*12)/D109-1,IF(ISNUMBER(F109),F109/D109-1,IF(ISNUMBER(E109),E109,IF(ISNUMBER(C18),C18,0)))),0)</f>
        <v/>
      </c>
      <c r="I109" s="12">
        <f>IF(ISNUMBER(G109),G109*12,IF(ISNUMBER(F109),F109,D109*(1+IF(ISNUMBER(E109),E109,IF(ISNUMBER(C18),C18,0)))))</f>
        <v/>
      </c>
    </row>
    <row r="110">
      <c r="B110" s="8" t="inlineStr">
        <is>
          <t>Container de Lixo</t>
        </is>
      </c>
      <c r="C110" s="2" t="inlineStr">
        <is>
          <t>Investimento e Equipamentos</t>
        </is>
      </c>
      <c r="D110" s="12">
        <f>'Previsao Anual'!C115</f>
        <v/>
      </c>
      <c r="E110" s="13" t="n"/>
      <c r="F110" s="14" t="n"/>
      <c r="G110" s="14" t="n"/>
      <c r="H110" s="15">
        <f>IFERROR(IF(ISNUMBER(G110),(G110*12)/D110-1,IF(ISNUMBER(F110),F110/D110-1,IF(ISNUMBER(E110),E110,IF(ISNUMBER(C18),C18,0)))),0)</f>
        <v/>
      </c>
      <c r="I110" s="12">
        <f>IF(ISNUMBER(G110),G110*12,IF(ISNUMBER(F110),F110,D110*(1+IF(ISNUMBER(E110),E110,IF(ISNUMBER(C18),C18,0)))))</f>
        <v/>
      </c>
    </row>
    <row r="111">
      <c r="B111" s="8" t="inlineStr">
        <is>
          <t>ART - Taxa Conselho Regional Engenharia</t>
        </is>
      </c>
      <c r="C111" s="2" t="inlineStr">
        <is>
          <t>Taxas e Recolhimentos</t>
        </is>
      </c>
      <c r="D111" s="12">
        <f>'Previsao Anual'!C119</f>
        <v/>
      </c>
      <c r="E111" s="13" t="n"/>
      <c r="F111" s="14" t="n"/>
      <c r="G111" s="14" t="n"/>
      <c r="H111" s="15">
        <f>IFERROR(IF(ISNUMBER(G111),(G111*12)/D111-1,IF(ISNUMBER(F111),F111/D111-1,IF(ISNUMBER(E111),E111,IF(ISNUMBER(C19),C19,0)))),0)</f>
        <v/>
      </c>
      <c r="I111" s="12">
        <f>IF(ISNUMBER(G111),G111*12,IF(ISNUMBER(F111),F111,D111*(1+IF(ISNUMBER(E111),E111,IF(ISNUMBER(C19),C19,0)))))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2">
      <c r="B2" s="1" t="inlineStr">
        <is>
          <t>PREVISÃO ANUAL 2026</t>
        </is>
      </c>
    </row>
    <row r="3">
      <c r="B3" s="2" t="inlineStr">
        <is>
          <t>Os percentuais vêm da aba 'Reajustes'. Não edite nada aqui — só visualize.</t>
        </is>
      </c>
    </row>
    <row r="5">
      <c r="B5" s="7" t="inlineStr">
        <is>
          <t>Item</t>
        </is>
      </c>
      <c r="C5" s="7" t="inlineStr">
        <is>
          <t>Base Anual (R$)</t>
        </is>
      </c>
      <c r="D5" s="7" t="inlineStr">
        <is>
          <t>Reajuste %</t>
        </is>
      </c>
      <c r="E5" s="7" t="inlineStr">
        <is>
          <t>Previsão 2026 (R$)</t>
        </is>
      </c>
      <c r="F5" s="7" t="inlineStr">
        <is>
          <t>Mensal (R$)</t>
        </is>
      </c>
    </row>
    <row r="6">
      <c r="B6" s="16" t="inlineStr">
        <is>
          <t>Despesas Financeiras</t>
        </is>
      </c>
      <c r="C6" s="17" t="n"/>
      <c r="D6" s="17" t="n"/>
      <c r="E6" s="17" t="n"/>
      <c r="F6" s="17" t="n"/>
    </row>
    <row r="7">
      <c r="B7" s="8" t="inlineStr">
        <is>
          <t>Cotas de Capital - Sicoob</t>
        </is>
      </c>
      <c r="C7" s="12" t="n">
        <v>60</v>
      </c>
      <c r="D7" s="15">
        <f>Reajustes!H23</f>
        <v/>
      </c>
      <c r="E7" s="12">
        <f>Reajustes!I23</f>
        <v/>
      </c>
      <c r="F7" s="12">
        <f>E7/12</f>
        <v/>
      </c>
    </row>
    <row r="8">
      <c r="B8" s="8" t="inlineStr">
        <is>
          <t>Reembolso</t>
        </is>
      </c>
      <c r="C8" s="12" t="n">
        <v>193.15</v>
      </c>
      <c r="D8" s="15">
        <f>Reajustes!H24</f>
        <v/>
      </c>
      <c r="E8" s="12">
        <f>Reajustes!I24</f>
        <v/>
      </c>
      <c r="F8" s="12">
        <f>E8/12</f>
        <v/>
      </c>
    </row>
    <row r="9">
      <c r="B9" s="8" t="inlineStr">
        <is>
          <t>IRRF Poupança</t>
        </is>
      </c>
      <c r="C9" s="12" t="n">
        <v>5577.22</v>
      </c>
      <c r="D9" s="15">
        <f>Reajustes!H25</f>
        <v/>
      </c>
      <c r="E9" s="12">
        <f>Reajustes!I25</f>
        <v/>
      </c>
      <c r="F9" s="12">
        <f>E9/12</f>
        <v/>
      </c>
    </row>
    <row r="10">
      <c r="B10" s="8" t="inlineStr">
        <is>
          <t>Devolução Pagamento Reserva</t>
        </is>
      </c>
      <c r="C10" s="12" t="n">
        <v>279.49</v>
      </c>
      <c r="D10" s="15">
        <f>Reajustes!H26</f>
        <v/>
      </c>
      <c r="E10" s="12">
        <f>Reajustes!I26</f>
        <v/>
      </c>
      <c r="F10" s="12">
        <f>E10/12</f>
        <v/>
      </c>
    </row>
    <row r="11">
      <c r="B11" s="8" t="inlineStr">
        <is>
          <t>Tarifas Bancárias - Garantidora</t>
        </is>
      </c>
      <c r="C11" s="12" t="n">
        <v>7260</v>
      </c>
      <c r="D11" s="15">
        <f>Reajustes!H27</f>
        <v/>
      </c>
      <c r="E11" s="12">
        <f>Reajustes!I27</f>
        <v/>
      </c>
      <c r="F11" s="12">
        <f>E11/12</f>
        <v/>
      </c>
    </row>
    <row r="12">
      <c r="B12" s="18" t="inlineStr">
        <is>
          <t xml:space="preserve">  Total Despesas Financeiras</t>
        </is>
      </c>
      <c r="C12" s="19">
        <f>SUM(C7:C11)</f>
        <v/>
      </c>
      <c r="D12" s="18" t="n"/>
      <c r="E12" s="19">
        <f>SUM(E7:E11)</f>
        <v/>
      </c>
      <c r="F12" s="19">
        <f>E12/12</f>
        <v/>
      </c>
    </row>
    <row r="14">
      <c r="B14" s="16" t="inlineStr">
        <is>
          <t>Despesa com Funcionários</t>
        </is>
      </c>
      <c r="C14" s="17" t="n"/>
      <c r="D14" s="17" t="n"/>
      <c r="E14" s="17" t="n"/>
      <c r="F14" s="17" t="n"/>
    </row>
    <row r="15">
      <c r="B15" s="8" t="inlineStr">
        <is>
          <t>Contrato Mão de Obra Terceirizada</t>
        </is>
      </c>
      <c r="C15" s="12" t="n">
        <v>590090.1899999999</v>
      </c>
      <c r="D15" s="15">
        <f>Reajustes!H28</f>
        <v/>
      </c>
      <c r="E15" s="12">
        <f>Reajustes!I28</f>
        <v/>
      </c>
      <c r="F15" s="12">
        <f>E15/12</f>
        <v/>
      </c>
    </row>
    <row r="16">
      <c r="B16" s="8" t="inlineStr">
        <is>
          <t>Alimentação e Lanche</t>
        </is>
      </c>
      <c r="C16" s="12" t="n">
        <v>2298.02</v>
      </c>
      <c r="D16" s="15">
        <f>Reajustes!H29</f>
        <v/>
      </c>
      <c r="E16" s="12">
        <f>Reajustes!I29</f>
        <v/>
      </c>
      <c r="F16" s="12">
        <f>E16/12</f>
        <v/>
      </c>
    </row>
    <row r="17">
      <c r="B17" s="8" t="inlineStr">
        <is>
          <t>Padaria</t>
        </is>
      </c>
      <c r="C17" s="12" t="n">
        <v>1755.44</v>
      </c>
      <c r="D17" s="15">
        <f>Reajustes!H30</f>
        <v/>
      </c>
      <c r="E17" s="12">
        <f>Reajustes!I30</f>
        <v/>
      </c>
      <c r="F17" s="12">
        <f>E17/12</f>
        <v/>
      </c>
    </row>
    <row r="18">
      <c r="B18" s="18" t="inlineStr">
        <is>
          <t xml:space="preserve">  Total Despesa com Funcionários</t>
        </is>
      </c>
      <c r="C18" s="19">
        <f>SUM(C15:C17)</f>
        <v/>
      </c>
      <c r="D18" s="18" t="n"/>
      <c r="E18" s="19">
        <f>SUM(E15:E17)</f>
        <v/>
      </c>
      <c r="F18" s="19">
        <f>E18/12</f>
        <v/>
      </c>
    </row>
    <row r="20">
      <c r="B20" s="16" t="inlineStr">
        <is>
          <t>Retenções Fiscais</t>
        </is>
      </c>
      <c r="C20" s="17" t="n"/>
      <c r="D20" s="17" t="n"/>
      <c r="E20" s="17" t="n"/>
      <c r="F20" s="17" t="n"/>
    </row>
    <row r="21">
      <c r="B21" s="8" t="inlineStr">
        <is>
          <t>ISS</t>
        </is>
      </c>
      <c r="C21" s="12" t="n">
        <v>45080.18</v>
      </c>
      <c r="D21" s="15">
        <f>Reajustes!H31</f>
        <v/>
      </c>
      <c r="E21" s="12">
        <f>Reajustes!I31</f>
        <v/>
      </c>
      <c r="F21" s="12">
        <f>E21/12</f>
        <v/>
      </c>
    </row>
    <row r="22">
      <c r="B22" s="8" t="inlineStr">
        <is>
          <t>DARF Pis Cofins CSLL</t>
        </is>
      </c>
      <c r="C22" s="12" t="n">
        <v>93567.39</v>
      </c>
      <c r="D22" s="15">
        <f>Reajustes!H32</f>
        <v/>
      </c>
      <c r="E22" s="12">
        <f>Reajustes!I32</f>
        <v/>
      </c>
      <c r="F22" s="12">
        <f>E22/12</f>
        <v/>
      </c>
    </row>
    <row r="23">
      <c r="B23" s="18" t="inlineStr">
        <is>
          <t xml:space="preserve">  Total Retenções Fiscais</t>
        </is>
      </c>
      <c r="C23" s="19">
        <f>SUM(C21:C22)</f>
        <v/>
      </c>
      <c r="D23" s="18" t="n"/>
      <c r="E23" s="19">
        <f>SUM(E21:E22)</f>
        <v/>
      </c>
      <c r="F23" s="19">
        <f>E23/12</f>
        <v/>
      </c>
    </row>
    <row r="25">
      <c r="B25" s="16" t="inlineStr">
        <is>
          <t>Despesa Administrativa</t>
        </is>
      </c>
      <c r="C25" s="17" t="n"/>
      <c r="D25" s="17" t="n"/>
      <c r="E25" s="17" t="n"/>
      <c r="F25" s="17" t="n"/>
    </row>
    <row r="26">
      <c r="B26" s="8" t="inlineStr">
        <is>
          <t>Honorários Administrativos</t>
        </is>
      </c>
      <c r="C26" s="12" t="n">
        <v>22442</v>
      </c>
      <c r="D26" s="15">
        <f>Reajustes!H33</f>
        <v/>
      </c>
      <c r="E26" s="12">
        <f>Reajustes!I33</f>
        <v/>
      </c>
      <c r="F26" s="12">
        <f>E26/12</f>
        <v/>
      </c>
    </row>
    <row r="27">
      <c r="B27" s="8" t="inlineStr">
        <is>
          <t>Honorários Síndico</t>
        </is>
      </c>
      <c r="C27" s="12" t="n">
        <v>38400</v>
      </c>
      <c r="D27" s="15">
        <f>Reajustes!H34</f>
        <v/>
      </c>
      <c r="E27" s="12">
        <f>Reajustes!I34</f>
        <v/>
      </c>
      <c r="F27" s="12">
        <f>E27/12</f>
        <v/>
      </c>
    </row>
    <row r="28">
      <c r="B28" s="8" t="inlineStr">
        <is>
          <t>Despesas Com Correios</t>
        </is>
      </c>
      <c r="C28" s="12" t="n">
        <v>133</v>
      </c>
      <c r="D28" s="15">
        <f>Reajustes!H35</f>
        <v/>
      </c>
      <c r="E28" s="12">
        <f>Reajustes!I35</f>
        <v/>
      </c>
      <c r="F28" s="12">
        <f>E28/12</f>
        <v/>
      </c>
    </row>
    <row r="29">
      <c r="B29" s="8" t="inlineStr">
        <is>
          <t>Despesas Com Cartório</t>
        </is>
      </c>
      <c r="C29" s="12" t="n">
        <v>718.72</v>
      </c>
      <c r="D29" s="15">
        <f>Reajustes!H36</f>
        <v/>
      </c>
      <c r="E29" s="12">
        <f>Reajustes!I36</f>
        <v/>
      </c>
      <c r="F29" s="12">
        <f>E29/12</f>
        <v/>
      </c>
    </row>
    <row r="30">
      <c r="B30" s="8" t="inlineStr">
        <is>
          <t>Despesas Com Material de Expediente</t>
        </is>
      </c>
      <c r="C30" s="12" t="n">
        <v>734.92</v>
      </c>
      <c r="D30" s="15">
        <f>Reajustes!H37</f>
        <v/>
      </c>
      <c r="E30" s="12">
        <f>Reajustes!I37</f>
        <v/>
      </c>
      <c r="F30" s="12">
        <f>E30/12</f>
        <v/>
      </c>
    </row>
    <row r="31">
      <c r="B31" s="8" t="inlineStr">
        <is>
          <t>Honorários Advocatícios</t>
        </is>
      </c>
      <c r="C31" s="12" t="n">
        <v>15939</v>
      </c>
      <c r="D31" s="15">
        <f>Reajustes!H38</f>
        <v/>
      </c>
      <c r="E31" s="12">
        <f>Reajustes!I38</f>
        <v/>
      </c>
      <c r="F31" s="12">
        <f>E31/12</f>
        <v/>
      </c>
    </row>
    <row r="32">
      <c r="B32" s="8" t="inlineStr">
        <is>
          <t>Custas Processuais</t>
        </is>
      </c>
      <c r="C32" s="12" t="n">
        <v>1013.32</v>
      </c>
      <c r="D32" s="15">
        <f>Reajustes!H39</f>
        <v/>
      </c>
      <c r="E32" s="12">
        <f>Reajustes!I39</f>
        <v/>
      </c>
      <c r="F32" s="12">
        <f>E32/12</f>
        <v/>
      </c>
    </row>
    <row r="33">
      <c r="B33" s="8" t="inlineStr">
        <is>
          <t>Multa-Penalidade</t>
        </is>
      </c>
      <c r="C33" s="12" t="n">
        <v>22.3</v>
      </c>
      <c r="D33" s="15">
        <f>Reajustes!H40</f>
        <v/>
      </c>
      <c r="E33" s="12">
        <f>Reajustes!I40</f>
        <v/>
      </c>
      <c r="F33" s="12">
        <f>E33/12</f>
        <v/>
      </c>
    </row>
    <row r="34">
      <c r="B34" s="8" t="inlineStr">
        <is>
          <t>Taxa Antecipação Garantidora</t>
        </is>
      </c>
      <c r="C34" s="12" t="n">
        <v>38918.44</v>
      </c>
      <c r="D34" s="15">
        <f>Reajustes!H41</f>
        <v/>
      </c>
      <c r="E34" s="12">
        <f>Reajustes!I41</f>
        <v/>
      </c>
      <c r="F34" s="12">
        <f>E34/12</f>
        <v/>
      </c>
    </row>
    <row r="35">
      <c r="B35" s="8" t="inlineStr">
        <is>
          <t>Despesa com Deslocamento</t>
        </is>
      </c>
      <c r="C35" s="12" t="n">
        <v>30.63</v>
      </c>
      <c r="D35" s="15">
        <f>Reajustes!H42</f>
        <v/>
      </c>
      <c r="E35" s="12">
        <f>Reajustes!I42</f>
        <v/>
      </c>
      <c r="F35" s="12">
        <f>E35/12</f>
        <v/>
      </c>
    </row>
    <row r="36">
      <c r="B36" s="18" t="inlineStr">
        <is>
          <t xml:space="preserve">  Total Despesa Administrativa</t>
        </is>
      </c>
      <c r="C36" s="19">
        <f>SUM(C26:C35)</f>
        <v/>
      </c>
      <c r="D36" s="18" t="n"/>
      <c r="E36" s="19">
        <f>SUM(E26:E35)</f>
        <v/>
      </c>
      <c r="F36" s="19">
        <f>E36/12</f>
        <v/>
      </c>
    </row>
    <row r="38">
      <c r="B38" s="16" t="inlineStr">
        <is>
          <t>Manutenção</t>
        </is>
      </c>
      <c r="C38" s="17" t="n"/>
      <c r="D38" s="17" t="n"/>
      <c r="E38" s="17" t="n"/>
      <c r="F38" s="17" t="n"/>
    </row>
    <row r="39">
      <c r="B39" s="8" t="inlineStr">
        <is>
          <t>Contrato Manutenção Elevador</t>
        </is>
      </c>
      <c r="C39" s="12" t="n">
        <v>17433.48</v>
      </c>
      <c r="D39" s="15">
        <f>Reajustes!H43</f>
        <v/>
      </c>
      <c r="E39" s="12">
        <f>Reajustes!I43</f>
        <v/>
      </c>
      <c r="F39" s="12">
        <f>E39/12</f>
        <v/>
      </c>
    </row>
    <row r="40">
      <c r="B40" s="8" t="inlineStr">
        <is>
          <t>Contrato Manutenção Piscina</t>
        </is>
      </c>
      <c r="C40" s="12" t="n">
        <v>18084</v>
      </c>
      <c r="D40" s="15">
        <f>Reajustes!H44</f>
        <v/>
      </c>
      <c r="E40" s="12">
        <f>Reajustes!I44</f>
        <v/>
      </c>
      <c r="F40" s="12">
        <f>E40/12</f>
        <v/>
      </c>
    </row>
    <row r="41">
      <c r="B41" s="8" t="inlineStr">
        <is>
          <t>Contrato Manutenção Jardinagem</t>
        </is>
      </c>
      <c r="C41" s="12" t="n">
        <v>9775</v>
      </c>
      <c r="D41" s="15">
        <f>Reajustes!H45</f>
        <v/>
      </c>
      <c r="E41" s="12">
        <f>Reajustes!I45</f>
        <v/>
      </c>
      <c r="F41" s="12">
        <f>E41/12</f>
        <v/>
      </c>
    </row>
    <row r="42">
      <c r="B42" s="8" t="inlineStr">
        <is>
          <t>Contrato Manutenção Segurança Eletrônica</t>
        </is>
      </c>
      <c r="C42" s="12" t="n">
        <v>15416.46</v>
      </c>
      <c r="D42" s="15">
        <f>Reajustes!H46</f>
        <v/>
      </c>
      <c r="E42" s="12">
        <f>Reajustes!I46</f>
        <v/>
      </c>
      <c r="F42" s="12">
        <f>E42/12</f>
        <v/>
      </c>
    </row>
    <row r="43">
      <c r="B43" s="8" t="inlineStr">
        <is>
          <t>Contrato de Manutenção de Desinsetização</t>
        </is>
      </c>
      <c r="C43" s="12" t="n">
        <v>6633.73</v>
      </c>
      <c r="D43" s="15">
        <f>Reajustes!H47</f>
        <v/>
      </c>
      <c r="E43" s="12">
        <f>Reajustes!I47</f>
        <v/>
      </c>
      <c r="F43" s="12">
        <f>E43/12</f>
        <v/>
      </c>
    </row>
    <row r="44">
      <c r="B44" s="8" t="inlineStr">
        <is>
          <t>Contrato Manutenção de Segurança</t>
        </is>
      </c>
      <c r="C44" s="12" t="n">
        <v>819.28</v>
      </c>
      <c r="D44" s="15">
        <f>Reajustes!H48</f>
        <v/>
      </c>
      <c r="E44" s="12">
        <f>Reajustes!I48</f>
        <v/>
      </c>
      <c r="F44" s="12">
        <f>E44/12</f>
        <v/>
      </c>
    </row>
    <row r="45">
      <c r="B45" s="8" t="inlineStr">
        <is>
          <t>Contrato Manutenção Bombas</t>
        </is>
      </c>
      <c r="C45" s="12" t="n">
        <v>3430.94</v>
      </c>
      <c r="D45" s="15">
        <f>Reajustes!H49</f>
        <v/>
      </c>
      <c r="E45" s="12">
        <f>Reajustes!I49</f>
        <v/>
      </c>
      <c r="F45" s="12">
        <f>E45/12</f>
        <v/>
      </c>
    </row>
    <row r="46">
      <c r="B46" s="8" t="inlineStr">
        <is>
          <t>Contrato Cx. de Gordura - Fossa e Esgoto</t>
        </is>
      </c>
      <c r="C46" s="12" t="n">
        <v>13159.4</v>
      </c>
      <c r="D46" s="15">
        <f>Reajustes!H50</f>
        <v/>
      </c>
      <c r="E46" s="12">
        <f>Reajustes!I50</f>
        <v/>
      </c>
      <c r="F46" s="12">
        <f>E46/12</f>
        <v/>
      </c>
    </row>
    <row r="47">
      <c r="B47" s="8" t="inlineStr">
        <is>
          <t>Contrato Manutenção ETE</t>
        </is>
      </c>
      <c r="C47" s="12" t="n">
        <v>967.6</v>
      </c>
      <c r="D47" s="15">
        <f>Reajustes!H51</f>
        <v/>
      </c>
      <c r="E47" s="12">
        <f>Reajustes!I51</f>
        <v/>
      </c>
      <c r="F47" s="12">
        <f>E47/12</f>
        <v/>
      </c>
    </row>
    <row r="48">
      <c r="B48" s="18" t="inlineStr">
        <is>
          <t xml:space="preserve">  Total Manutenção</t>
        </is>
      </c>
      <c r="C48" s="19">
        <f>SUM(C39:C47)</f>
        <v/>
      </c>
      <c r="D48" s="18" t="n"/>
      <c r="E48" s="19">
        <f>SUM(E39:E47)</f>
        <v/>
      </c>
      <c r="F48" s="19">
        <f>E48/12</f>
        <v/>
      </c>
    </row>
    <row r="50">
      <c r="B50" s="16" t="inlineStr">
        <is>
          <t>Aquisição de Materiais</t>
        </is>
      </c>
      <c r="C50" s="17" t="n"/>
      <c r="D50" s="17" t="n"/>
      <c r="E50" s="17" t="n"/>
      <c r="F50" s="17" t="n"/>
    </row>
    <row r="51">
      <c r="B51" s="8" t="inlineStr">
        <is>
          <t>Material de Limpeza</t>
        </is>
      </c>
      <c r="C51" s="12" t="n">
        <v>18989.81</v>
      </c>
      <c r="D51" s="15">
        <f>Reajustes!H52</f>
        <v/>
      </c>
      <c r="E51" s="12">
        <f>Reajustes!I52</f>
        <v/>
      </c>
      <c r="F51" s="12">
        <f>E51/12</f>
        <v/>
      </c>
    </row>
    <row r="52">
      <c r="B52" s="8" t="inlineStr">
        <is>
          <t>Material Elétrico</t>
        </is>
      </c>
      <c r="C52" s="12" t="n">
        <v>5115.51</v>
      </c>
      <c r="D52" s="15">
        <f>Reajustes!H53</f>
        <v/>
      </c>
      <c r="E52" s="12">
        <f>Reajustes!I53</f>
        <v/>
      </c>
      <c r="F52" s="12">
        <f>E52/12</f>
        <v/>
      </c>
    </row>
    <row r="53">
      <c r="B53" s="8" t="inlineStr">
        <is>
          <t>Material Hidráulico</t>
        </is>
      </c>
      <c r="C53" s="12" t="n">
        <v>96.89</v>
      </c>
      <c r="D53" s="15">
        <f>Reajustes!H54</f>
        <v/>
      </c>
      <c r="E53" s="12">
        <f>Reajustes!I54</f>
        <v/>
      </c>
      <c r="F53" s="12">
        <f>E53/12</f>
        <v/>
      </c>
    </row>
    <row r="54">
      <c r="B54" s="8" t="inlineStr">
        <is>
          <t>Material de Segurança Eletrônica</t>
        </is>
      </c>
      <c r="C54" s="12" t="n">
        <v>15613.33</v>
      </c>
      <c r="D54" s="15">
        <f>Reajustes!H55</f>
        <v/>
      </c>
      <c r="E54" s="12">
        <f>Reajustes!I55</f>
        <v/>
      </c>
      <c r="F54" s="12">
        <f>E54/12</f>
        <v/>
      </c>
    </row>
    <row r="55">
      <c r="B55" s="8" t="inlineStr">
        <is>
          <t>Material de Pintura</t>
        </is>
      </c>
      <c r="C55" s="12" t="n">
        <v>6309</v>
      </c>
      <c r="D55" s="15">
        <f>Reajustes!H56</f>
        <v/>
      </c>
      <c r="E55" s="12">
        <f>Reajustes!I56</f>
        <v/>
      </c>
      <c r="F55" s="12">
        <f>E55/12</f>
        <v/>
      </c>
    </row>
    <row r="56">
      <c r="B56" s="8" t="inlineStr">
        <is>
          <t>Material de Construção-Ferramentas</t>
        </is>
      </c>
      <c r="C56" s="12" t="n">
        <v>8122.73</v>
      </c>
      <c r="D56" s="15">
        <f>Reajustes!H57</f>
        <v/>
      </c>
      <c r="E56" s="12">
        <f>Reajustes!I57</f>
        <v/>
      </c>
      <c r="F56" s="12">
        <f>E56/12</f>
        <v/>
      </c>
    </row>
    <row r="57">
      <c r="B57" s="8" t="inlineStr">
        <is>
          <t>Material de Uso e Consumo Condomínio</t>
        </is>
      </c>
      <c r="C57" s="12" t="n">
        <v>4827.64</v>
      </c>
      <c r="D57" s="15">
        <f>Reajustes!H58</f>
        <v/>
      </c>
      <c r="E57" s="12">
        <f>Reajustes!I58</f>
        <v/>
      </c>
      <c r="F57" s="12">
        <f>E57/12</f>
        <v/>
      </c>
    </row>
    <row r="58">
      <c r="B58" s="8" t="inlineStr">
        <is>
          <t>Material de Confraternização-Festa</t>
        </is>
      </c>
      <c r="C58" s="12" t="n">
        <v>2885.24</v>
      </c>
      <c r="D58" s="15">
        <f>Reajustes!H59</f>
        <v/>
      </c>
      <c r="E58" s="12">
        <f>Reajustes!I59</f>
        <v/>
      </c>
      <c r="F58" s="12">
        <f>E58/12</f>
        <v/>
      </c>
    </row>
    <row r="59">
      <c r="B59" s="8" t="inlineStr">
        <is>
          <t>Material de Informática</t>
        </is>
      </c>
      <c r="C59" s="12" t="n">
        <v>1064.89</v>
      </c>
      <c r="D59" s="15">
        <f>Reajustes!H60</f>
        <v/>
      </c>
      <c r="E59" s="12">
        <f>Reajustes!I60</f>
        <v/>
      </c>
      <c r="F59" s="12">
        <f>E59/12</f>
        <v/>
      </c>
    </row>
    <row r="60">
      <c r="B60" s="8" t="inlineStr">
        <is>
          <t>Material de Academia</t>
        </is>
      </c>
      <c r="C60" s="12" t="n">
        <v>10453.97</v>
      </c>
      <c r="D60" s="15">
        <f>Reajustes!H61</f>
        <v/>
      </c>
      <c r="E60" s="12">
        <f>Reajustes!I61</f>
        <v/>
      </c>
      <c r="F60" s="12">
        <f>E60/12</f>
        <v/>
      </c>
    </row>
    <row r="61">
      <c r="B61" s="8" t="inlineStr">
        <is>
          <t>Material de Piscina</t>
        </is>
      </c>
      <c r="C61" s="12" t="n">
        <v>390.77</v>
      </c>
      <c r="D61" s="15">
        <f>Reajustes!H62</f>
        <v/>
      </c>
      <c r="E61" s="12">
        <f>Reajustes!I62</f>
        <v/>
      </c>
      <c r="F61" s="12">
        <f>E61/12</f>
        <v/>
      </c>
    </row>
    <row r="62">
      <c r="B62" s="8" t="inlineStr">
        <is>
          <t>Material Área de Lazer</t>
        </is>
      </c>
      <c r="C62" s="12" t="n">
        <v>7414</v>
      </c>
      <c r="D62" s="15">
        <f>Reajustes!H63</f>
        <v/>
      </c>
      <c r="E62" s="12">
        <f>Reajustes!I63</f>
        <v/>
      </c>
      <c r="F62" s="12">
        <f>E62/12</f>
        <v/>
      </c>
    </row>
    <row r="63">
      <c r="B63" s="8" t="inlineStr">
        <is>
          <t>Tags - Controle de Acesso</t>
        </is>
      </c>
      <c r="C63" s="12" t="n">
        <v>3450</v>
      </c>
      <c r="D63" s="15">
        <f>Reajustes!H64</f>
        <v/>
      </c>
      <c r="E63" s="12">
        <f>Reajustes!I64</f>
        <v/>
      </c>
      <c r="F63" s="12">
        <f>E63/12</f>
        <v/>
      </c>
    </row>
    <row r="64">
      <c r="B64" s="8" t="inlineStr">
        <is>
          <t>Material para Portão</t>
        </is>
      </c>
      <c r="C64" s="12" t="n">
        <v>4004.63</v>
      </c>
      <c r="D64" s="15">
        <f>Reajustes!H65</f>
        <v/>
      </c>
      <c r="E64" s="12">
        <f>Reajustes!I65</f>
        <v/>
      </c>
      <c r="F64" s="12">
        <f>E64/12</f>
        <v/>
      </c>
    </row>
    <row r="65">
      <c r="B65" s="8" t="inlineStr">
        <is>
          <t>Material de Decoração</t>
        </is>
      </c>
      <c r="C65" s="12" t="n">
        <v>2140</v>
      </c>
      <c r="D65" s="15">
        <f>Reajustes!H66</f>
        <v/>
      </c>
      <c r="E65" s="12">
        <f>Reajustes!I66</f>
        <v/>
      </c>
      <c r="F65" s="12">
        <f>E65/12</f>
        <v/>
      </c>
    </row>
    <row r="66">
      <c r="B66" s="8" t="inlineStr">
        <is>
          <t>Material Salão de Festas</t>
        </is>
      </c>
      <c r="C66" s="12" t="n">
        <v>625</v>
      </c>
      <c r="D66" s="15">
        <f>Reajustes!H67</f>
        <v/>
      </c>
      <c r="E66" s="12">
        <f>Reajustes!I67</f>
        <v/>
      </c>
      <c r="F66" s="12">
        <f>E66/12</f>
        <v/>
      </c>
    </row>
    <row r="67">
      <c r="B67" s="8" t="inlineStr">
        <is>
          <t>Material de Interfone</t>
        </is>
      </c>
      <c r="C67" s="12" t="n">
        <v>886.3200000000001</v>
      </c>
      <c r="D67" s="15">
        <f>Reajustes!H68</f>
        <v/>
      </c>
      <c r="E67" s="12">
        <f>Reajustes!I68</f>
        <v/>
      </c>
      <c r="F67" s="12">
        <f>E67/12</f>
        <v/>
      </c>
    </row>
    <row r="68">
      <c r="B68" s="8" t="inlineStr">
        <is>
          <t>Ferramentas-materiais para manutenção</t>
        </is>
      </c>
      <c r="C68" s="12" t="n">
        <v>2631.54</v>
      </c>
      <c r="D68" s="15">
        <f>Reajustes!H69</f>
        <v/>
      </c>
      <c r="E68" s="12">
        <f>Reajustes!I69</f>
        <v/>
      </c>
      <c r="F68" s="12">
        <f>E68/12</f>
        <v/>
      </c>
    </row>
    <row r="69">
      <c r="B69" s="8" t="inlineStr">
        <is>
          <t>Material de Sinalização</t>
        </is>
      </c>
      <c r="C69" s="12" t="n">
        <v>3552.71</v>
      </c>
      <c r="D69" s="15">
        <f>Reajustes!H70</f>
        <v/>
      </c>
      <c r="E69" s="12">
        <f>Reajustes!I70</f>
        <v/>
      </c>
      <c r="F69" s="12">
        <f>E69/12</f>
        <v/>
      </c>
    </row>
    <row r="70">
      <c r="B70" s="8" t="inlineStr">
        <is>
          <t>Material de Extintor</t>
        </is>
      </c>
      <c r="C70" s="12" t="n">
        <v>3219</v>
      </c>
      <c r="D70" s="15">
        <f>Reajustes!H71</f>
        <v/>
      </c>
      <c r="E70" s="12">
        <f>Reajustes!I71</f>
        <v/>
      </c>
      <c r="F70" s="12">
        <f>E70/12</f>
        <v/>
      </c>
    </row>
    <row r="71">
      <c r="B71" s="18" t="inlineStr">
        <is>
          <t xml:space="preserve">  Total Aquisição de Materiais</t>
        </is>
      </c>
      <c r="C71" s="19">
        <f>SUM(C51:C70)</f>
        <v/>
      </c>
      <c r="D71" s="18" t="n"/>
      <c r="E71" s="19">
        <f>SUM(E51:E70)</f>
        <v/>
      </c>
      <c r="F71" s="19">
        <f>E71/12</f>
        <v/>
      </c>
    </row>
    <row r="73">
      <c r="B73" s="16" t="inlineStr">
        <is>
          <t>Serviços</t>
        </is>
      </c>
      <c r="C73" s="17" t="n"/>
      <c r="D73" s="17" t="n"/>
      <c r="E73" s="17" t="n"/>
      <c r="F73" s="17" t="n"/>
    </row>
    <row r="74">
      <c r="B74" s="8" t="inlineStr">
        <is>
          <t>Seguro Condominial</t>
        </is>
      </c>
      <c r="C74" s="12" t="n">
        <v>6602.19</v>
      </c>
      <c r="D74" s="15">
        <f>Reajustes!H72</f>
        <v/>
      </c>
      <c r="E74" s="12">
        <f>Reajustes!I72</f>
        <v/>
      </c>
      <c r="F74" s="12">
        <f>E74/12</f>
        <v/>
      </c>
    </row>
    <row r="75">
      <c r="B75" s="8" t="inlineStr">
        <is>
          <t>Serviço de Pintura</t>
        </is>
      </c>
      <c r="C75" s="12" t="n">
        <v>500</v>
      </c>
      <c r="D75" s="15">
        <f>Reajustes!H73</f>
        <v/>
      </c>
      <c r="E75" s="12">
        <f>Reajustes!I73</f>
        <v/>
      </c>
      <c r="F75" s="12">
        <f>E75/12</f>
        <v/>
      </c>
    </row>
    <row r="76">
      <c r="B76" s="8" t="inlineStr">
        <is>
          <t>Serviço Elétrico</t>
        </is>
      </c>
      <c r="C76" s="12" t="n">
        <v>2313.25</v>
      </c>
      <c r="D76" s="15">
        <f>Reajustes!H74</f>
        <v/>
      </c>
      <c r="E76" s="12">
        <f>Reajustes!I74</f>
        <v/>
      </c>
      <c r="F76" s="12">
        <f>E76/12</f>
        <v/>
      </c>
    </row>
    <row r="77">
      <c r="B77" s="8" t="inlineStr">
        <is>
          <t>Serviço de Engenharia</t>
        </is>
      </c>
      <c r="C77" s="12" t="n">
        <v>10373.1</v>
      </c>
      <c r="D77" s="15">
        <f>Reajustes!H75</f>
        <v/>
      </c>
      <c r="E77" s="12">
        <f>Reajustes!I75</f>
        <v/>
      </c>
      <c r="F77" s="12">
        <f>E77/12</f>
        <v/>
      </c>
    </row>
    <row r="78">
      <c r="B78" s="8" t="inlineStr">
        <is>
          <t>Serviço de Desinsetização</t>
        </is>
      </c>
      <c r="C78" s="12" t="n">
        <v>285</v>
      </c>
      <c r="D78" s="15">
        <f>Reajustes!H76</f>
        <v/>
      </c>
      <c r="E78" s="12">
        <f>Reajustes!I76</f>
        <v/>
      </c>
      <c r="F78" s="12">
        <f>E78/12</f>
        <v/>
      </c>
    </row>
    <row r="79">
      <c r="B79" s="8" t="inlineStr">
        <is>
          <t>Serviço Gráficos</t>
        </is>
      </c>
      <c r="C79" s="12" t="n">
        <v>247</v>
      </c>
      <c r="D79" s="15">
        <f>Reajustes!H77</f>
        <v/>
      </c>
      <c r="E79" s="12">
        <f>Reajustes!I77</f>
        <v/>
      </c>
      <c r="F79" s="12">
        <f>E79/12</f>
        <v/>
      </c>
    </row>
    <row r="80">
      <c r="B80" s="8" t="inlineStr">
        <is>
          <t>Serviço de Locação</t>
        </is>
      </c>
      <c r="C80" s="12" t="n">
        <v>1670.44</v>
      </c>
      <c r="D80" s="15">
        <f>Reajustes!H78</f>
        <v/>
      </c>
      <c r="E80" s="12">
        <f>Reajustes!I78</f>
        <v/>
      </c>
      <c r="F80" s="12">
        <f>E80/12</f>
        <v/>
      </c>
    </row>
    <row r="81">
      <c r="B81" s="8" t="inlineStr">
        <is>
          <t>Serviço de Chaveiro</t>
        </is>
      </c>
      <c r="C81" s="12" t="n">
        <v>130</v>
      </c>
      <c r="D81" s="15">
        <f>Reajustes!H79</f>
        <v/>
      </c>
      <c r="E81" s="12">
        <f>Reajustes!I79</f>
        <v/>
      </c>
      <c r="F81" s="12">
        <f>E81/12</f>
        <v/>
      </c>
    </row>
    <row r="82">
      <c r="B82" s="8" t="inlineStr">
        <is>
          <t>Serviço de Serralheria</t>
        </is>
      </c>
      <c r="C82" s="12" t="n">
        <v>13917</v>
      </c>
      <c r="D82" s="15">
        <f>Reajustes!H80</f>
        <v/>
      </c>
      <c r="E82" s="12">
        <f>Reajustes!I80</f>
        <v/>
      </c>
      <c r="F82" s="12">
        <f>E82/12</f>
        <v/>
      </c>
    </row>
    <row r="83">
      <c r="B83" s="8" t="inlineStr">
        <is>
          <t>Serviço Hidráulico</t>
        </is>
      </c>
      <c r="C83" s="12" t="n">
        <v>7100</v>
      </c>
      <c r="D83" s="15">
        <f>Reajustes!H81</f>
        <v/>
      </c>
      <c r="E83" s="12">
        <f>Reajustes!I81</f>
        <v/>
      </c>
      <c r="F83" s="12">
        <f>E83/12</f>
        <v/>
      </c>
    </row>
    <row r="84">
      <c r="B84" s="8" t="inlineStr">
        <is>
          <t>Serviço de Informática- Internet</t>
        </is>
      </c>
      <c r="C84" s="12" t="n">
        <v>418</v>
      </c>
      <c r="D84" s="15">
        <f>Reajustes!H82</f>
        <v/>
      </c>
      <c r="E84" s="12">
        <f>Reajustes!I82</f>
        <v/>
      </c>
      <c r="F84" s="12">
        <f>E84/12</f>
        <v/>
      </c>
    </row>
    <row r="85">
      <c r="B85" s="8" t="inlineStr">
        <is>
          <t>Serviço em Portão</t>
        </is>
      </c>
      <c r="C85" s="12" t="n">
        <v>1418.15</v>
      </c>
      <c r="D85" s="15">
        <f>Reajustes!H83</f>
        <v/>
      </c>
      <c r="E85" s="12">
        <f>Reajustes!I83</f>
        <v/>
      </c>
      <c r="F85" s="12">
        <f>E85/12</f>
        <v/>
      </c>
    </row>
    <row r="86">
      <c r="B86" s="8" t="inlineStr">
        <is>
          <t>Serviço de Jardinagem</t>
        </is>
      </c>
      <c r="C86" s="12" t="n">
        <v>4400</v>
      </c>
      <c r="D86" s="15">
        <f>Reajustes!H84</f>
        <v/>
      </c>
      <c r="E86" s="12">
        <f>Reajustes!I84</f>
        <v/>
      </c>
      <c r="F86" s="12">
        <f>E86/12</f>
        <v/>
      </c>
    </row>
    <row r="87">
      <c r="B87" s="8" t="inlineStr">
        <is>
          <t>Serviço de Reparo</t>
        </is>
      </c>
      <c r="C87" s="12" t="n">
        <v>2003.6</v>
      </c>
      <c r="D87" s="15">
        <f>Reajustes!H85</f>
        <v/>
      </c>
      <c r="E87" s="12">
        <f>Reajustes!I85</f>
        <v/>
      </c>
      <c r="F87" s="12">
        <f>E87/12</f>
        <v/>
      </c>
    </row>
    <row r="88">
      <c r="B88" s="8" t="inlineStr">
        <is>
          <t>Serviço de Marcenária</t>
        </is>
      </c>
      <c r="C88" s="12" t="n">
        <v>1100</v>
      </c>
      <c r="D88" s="15">
        <f>Reajustes!H86</f>
        <v/>
      </c>
      <c r="E88" s="12">
        <f>Reajustes!I86</f>
        <v/>
      </c>
      <c r="F88" s="12">
        <f>E88/12</f>
        <v/>
      </c>
    </row>
    <row r="89">
      <c r="B89" s="8" t="inlineStr">
        <is>
          <t>Serviço de Descupinização</t>
        </is>
      </c>
      <c r="C89" s="12" t="n">
        <v>731.64</v>
      </c>
      <c r="D89" s="15">
        <f>Reajustes!H87</f>
        <v/>
      </c>
      <c r="E89" s="12">
        <f>Reajustes!I87</f>
        <v/>
      </c>
      <c r="F89" s="12">
        <f>E89/12</f>
        <v/>
      </c>
    </row>
    <row r="90">
      <c r="B90" s="8" t="inlineStr">
        <is>
          <t>Serviço Manutenção</t>
        </is>
      </c>
      <c r="C90" s="12" t="n">
        <v>3792.41</v>
      </c>
      <c r="D90" s="15">
        <f>Reajustes!H88</f>
        <v/>
      </c>
      <c r="E90" s="12">
        <f>Reajustes!I88</f>
        <v/>
      </c>
      <c r="F90" s="12">
        <f>E90/12</f>
        <v/>
      </c>
    </row>
    <row r="91">
      <c r="B91" s="8" t="inlineStr">
        <is>
          <t>Serviço na Área de Lazer</t>
        </is>
      </c>
      <c r="C91" s="12" t="n">
        <v>650</v>
      </c>
      <c r="D91" s="15">
        <f>Reajustes!H89</f>
        <v/>
      </c>
      <c r="E91" s="12">
        <f>Reajustes!I89</f>
        <v/>
      </c>
      <c r="F91" s="12">
        <f>E91/12</f>
        <v/>
      </c>
    </row>
    <row r="92">
      <c r="B92" s="8" t="inlineStr">
        <is>
          <t>Obras-Melhorias</t>
        </is>
      </c>
      <c r="C92" s="12" t="n">
        <v>129100</v>
      </c>
      <c r="D92" s="15">
        <f>Reajustes!H90</f>
        <v/>
      </c>
      <c r="E92" s="12">
        <f>Reajustes!I90</f>
        <v/>
      </c>
      <c r="F92" s="12">
        <f>E92/12</f>
        <v/>
      </c>
    </row>
    <row r="93">
      <c r="B93" s="8" t="inlineStr">
        <is>
          <t>Serviço Segurança Eletrônica</t>
        </is>
      </c>
      <c r="C93" s="12" t="n">
        <v>2628.2</v>
      </c>
      <c r="D93" s="15">
        <f>Reajustes!H91</f>
        <v/>
      </c>
      <c r="E93" s="12">
        <f>Reajustes!I91</f>
        <v/>
      </c>
      <c r="F93" s="12">
        <f>E93/12</f>
        <v/>
      </c>
    </row>
    <row r="94">
      <c r="B94" s="8" t="inlineStr">
        <is>
          <t>Serviço de Reparo na bomba</t>
        </is>
      </c>
      <c r="C94" s="12" t="n">
        <v>5381.17</v>
      </c>
      <c r="D94" s="15">
        <f>Reajustes!H92</f>
        <v/>
      </c>
      <c r="E94" s="12">
        <f>Reajustes!I92</f>
        <v/>
      </c>
      <c r="F94" s="12">
        <f>E94/12</f>
        <v/>
      </c>
    </row>
    <row r="95">
      <c r="B95" s="8" t="inlineStr">
        <is>
          <t>Serviço de Vistoria</t>
        </is>
      </c>
      <c r="C95" s="12" t="n">
        <v>1230</v>
      </c>
      <c r="D95" s="15">
        <f>Reajustes!H93</f>
        <v/>
      </c>
      <c r="E95" s="12">
        <f>Reajustes!I93</f>
        <v/>
      </c>
      <c r="F95" s="12">
        <f>E95/12</f>
        <v/>
      </c>
    </row>
    <row r="96">
      <c r="B96" s="8" t="inlineStr">
        <is>
          <t>Serviço de Reparo de Elevador</t>
        </is>
      </c>
      <c r="C96" s="12" t="n">
        <v>13344.24</v>
      </c>
      <c r="D96" s="15">
        <f>Reajustes!H94</f>
        <v/>
      </c>
      <c r="E96" s="12">
        <f>Reajustes!I94</f>
        <v/>
      </c>
      <c r="F96" s="12">
        <f>E96/12</f>
        <v/>
      </c>
    </row>
    <row r="97">
      <c r="B97" s="8" t="inlineStr">
        <is>
          <t>Serviço de Manutenção Extintores</t>
        </is>
      </c>
      <c r="C97" s="12" t="n">
        <v>1404</v>
      </c>
      <c r="D97" s="15">
        <f>Reajustes!H95</f>
        <v/>
      </c>
      <c r="E97" s="12">
        <f>Reajustes!I95</f>
        <v/>
      </c>
      <c r="F97" s="12">
        <f>E97/12</f>
        <v/>
      </c>
    </row>
    <row r="98">
      <c r="B98" s="8" t="inlineStr">
        <is>
          <t>Serviço Prestados</t>
        </is>
      </c>
      <c r="C98" s="12" t="n">
        <v>681.49</v>
      </c>
      <c r="D98" s="15">
        <f>Reajustes!H96</f>
        <v/>
      </c>
      <c r="E98" s="12">
        <f>Reajustes!I96</f>
        <v/>
      </c>
      <c r="F98" s="12">
        <f>E98/12</f>
        <v/>
      </c>
    </row>
    <row r="99">
      <c r="B99" s="8" t="inlineStr">
        <is>
          <t>Serviço de Comunicação Visual</t>
        </is>
      </c>
      <c r="C99" s="12" t="n">
        <v>1600</v>
      </c>
      <c r="D99" s="15">
        <f>Reajustes!H97</f>
        <v/>
      </c>
      <c r="E99" s="12">
        <f>Reajustes!I97</f>
        <v/>
      </c>
      <c r="F99" s="12">
        <f>E99/12</f>
        <v/>
      </c>
    </row>
    <row r="100">
      <c r="B100" s="8" t="inlineStr">
        <is>
          <t>Serviço de Ar Condicionado</t>
        </is>
      </c>
      <c r="C100" s="12" t="n">
        <v>780</v>
      </c>
      <c r="D100" s="15">
        <f>Reajustes!H98</f>
        <v/>
      </c>
      <c r="E100" s="12">
        <f>Reajustes!I98</f>
        <v/>
      </c>
      <c r="F100" s="12">
        <f>E100/12</f>
        <v/>
      </c>
    </row>
    <row r="101">
      <c r="B101" s="8" t="inlineStr">
        <is>
          <t>Serviço de Frete</t>
        </is>
      </c>
      <c r="C101" s="12" t="n">
        <v>850</v>
      </c>
      <c r="D101" s="15">
        <f>Reajustes!H99</f>
        <v/>
      </c>
      <c r="E101" s="12">
        <f>Reajustes!I99</f>
        <v/>
      </c>
      <c r="F101" s="12">
        <f>E101/12</f>
        <v/>
      </c>
    </row>
    <row r="102">
      <c r="B102" s="8" t="inlineStr">
        <is>
          <t>Serviço de Reforma Móveis e Utensílios</t>
        </is>
      </c>
      <c r="C102" s="12" t="n">
        <v>1795.5</v>
      </c>
      <c r="D102" s="15">
        <f>Reajustes!H100</f>
        <v/>
      </c>
      <c r="E102" s="12">
        <f>Reajustes!I100</f>
        <v/>
      </c>
      <c r="F102" s="12">
        <f>E102/12</f>
        <v/>
      </c>
    </row>
    <row r="103">
      <c r="B103" s="8" t="inlineStr">
        <is>
          <t>Serviço em Aparelho de Academia</t>
        </is>
      </c>
      <c r="C103" s="12" t="n">
        <v>950.75</v>
      </c>
      <c r="D103" s="15">
        <f>Reajustes!H101</f>
        <v/>
      </c>
      <c r="E103" s="12">
        <f>Reajustes!I101</f>
        <v/>
      </c>
      <c r="F103" s="12">
        <f>E103/12</f>
        <v/>
      </c>
    </row>
    <row r="104">
      <c r="B104" s="8" t="inlineStr">
        <is>
          <t>Serviço Manutenção de Caixa d água</t>
        </is>
      </c>
      <c r="C104" s="12" t="n">
        <v>550</v>
      </c>
      <c r="D104" s="15">
        <f>Reajustes!H102</f>
        <v/>
      </c>
      <c r="E104" s="12">
        <f>Reajustes!I102</f>
        <v/>
      </c>
      <c r="F104" s="12">
        <f>E104/12</f>
        <v/>
      </c>
    </row>
    <row r="105">
      <c r="B105" s="8" t="inlineStr">
        <is>
          <t>Serviço Eletrônico Obra</t>
        </is>
      </c>
      <c r="C105" s="12" t="n">
        <v>220</v>
      </c>
      <c r="D105" s="15">
        <f>Reajustes!H103</f>
        <v/>
      </c>
      <c r="E105" s="12">
        <f>Reajustes!I103</f>
        <v/>
      </c>
      <c r="F105" s="12">
        <f>E105/12</f>
        <v/>
      </c>
    </row>
    <row r="106">
      <c r="B106" s="8" t="inlineStr">
        <is>
          <t>Serviços - Obra Fachada</t>
        </is>
      </c>
      <c r="C106" s="12" t="n">
        <v>40000</v>
      </c>
      <c r="D106" s="15">
        <f>Reajustes!H104</f>
        <v/>
      </c>
      <c r="E106" s="12">
        <f>Reajustes!I104</f>
        <v/>
      </c>
      <c r="F106" s="12">
        <f>E106/12</f>
        <v/>
      </c>
    </row>
    <row r="107">
      <c r="B107" s="8" t="inlineStr">
        <is>
          <t>Serviços - Obra Telhado</t>
        </is>
      </c>
      <c r="C107" s="12" t="n">
        <v>2100</v>
      </c>
      <c r="D107" s="15">
        <f>Reajustes!H105</f>
        <v/>
      </c>
      <c r="E107" s="12">
        <f>Reajustes!I105</f>
        <v/>
      </c>
      <c r="F107" s="12">
        <f>E107/12</f>
        <v/>
      </c>
    </row>
    <row r="108">
      <c r="B108" s="18" t="inlineStr">
        <is>
          <t xml:space="preserve">  Total Serviços</t>
        </is>
      </c>
      <c r="C108" s="19">
        <f>SUM(C74:C107)</f>
        <v/>
      </c>
      <c r="D108" s="18" t="n"/>
      <c r="E108" s="19">
        <f>SUM(E74:E107)</f>
        <v/>
      </c>
      <c r="F108" s="19">
        <f>E108/12</f>
        <v/>
      </c>
    </row>
    <row r="110">
      <c r="B110" s="16" t="inlineStr">
        <is>
          <t>Investimento e Equipamentos</t>
        </is>
      </c>
      <c r="C110" s="17" t="n"/>
      <c r="D110" s="17" t="n"/>
      <c r="E110" s="17" t="n"/>
      <c r="F110" s="17" t="n"/>
    </row>
    <row r="111">
      <c r="B111" s="8" t="inlineStr">
        <is>
          <t>Móveis e Utensílios</t>
        </is>
      </c>
      <c r="C111" s="12" t="n">
        <v>3212.34</v>
      </c>
      <c r="D111" s="15">
        <f>Reajustes!H106</f>
        <v/>
      </c>
      <c r="E111" s="12">
        <f>Reajustes!I106</f>
        <v/>
      </c>
      <c r="F111" s="12">
        <f>E111/12</f>
        <v/>
      </c>
    </row>
    <row r="112">
      <c r="B112" s="8" t="inlineStr">
        <is>
          <t>Informática</t>
        </is>
      </c>
      <c r="C112" s="12" t="n">
        <v>740</v>
      </c>
      <c r="D112" s="15">
        <f>Reajustes!H107</f>
        <v/>
      </c>
      <c r="E112" s="12">
        <f>Reajustes!I107</f>
        <v/>
      </c>
      <c r="F112" s="12">
        <f>E112/12</f>
        <v/>
      </c>
    </row>
    <row r="113">
      <c r="B113" s="8" t="inlineStr">
        <is>
          <t>Eletrodoméstico-Eletroeletrônico</t>
        </is>
      </c>
      <c r="C113" s="12" t="n">
        <v>2543.7</v>
      </c>
      <c r="D113" s="15">
        <f>Reajustes!H108</f>
        <v/>
      </c>
      <c r="E113" s="12">
        <f>Reajustes!I108</f>
        <v/>
      </c>
      <c r="F113" s="12">
        <f>E113/12</f>
        <v/>
      </c>
    </row>
    <row r="114">
      <c r="B114" s="8" t="inlineStr">
        <is>
          <t>Máquinas-Equipamentos</t>
        </is>
      </c>
      <c r="C114" s="12" t="n">
        <v>3449.98</v>
      </c>
      <c r="D114" s="15">
        <f>Reajustes!H109</f>
        <v/>
      </c>
      <c r="E114" s="12">
        <f>Reajustes!I109</f>
        <v/>
      </c>
      <c r="F114" s="12">
        <f>E114/12</f>
        <v/>
      </c>
    </row>
    <row r="115">
      <c r="B115" s="8" t="inlineStr">
        <is>
          <t>Container de Lixo</t>
        </is>
      </c>
      <c r="C115" s="12" t="n">
        <v>1860</v>
      </c>
      <c r="D115" s="15">
        <f>Reajustes!H110</f>
        <v/>
      </c>
      <c r="E115" s="12">
        <f>Reajustes!I110</f>
        <v/>
      </c>
      <c r="F115" s="12">
        <f>E115/12</f>
        <v/>
      </c>
    </row>
    <row r="116">
      <c r="B116" s="18" t="inlineStr">
        <is>
          <t xml:space="preserve">  Total Investimento e Equipamentos</t>
        </is>
      </c>
      <c r="C116" s="19">
        <f>SUM(C111:C115)</f>
        <v/>
      </c>
      <c r="D116" s="18" t="n"/>
      <c r="E116" s="19">
        <f>SUM(E111:E115)</f>
        <v/>
      </c>
      <c r="F116" s="19">
        <f>E116/12</f>
        <v/>
      </c>
    </row>
    <row r="118">
      <c r="B118" s="16" t="inlineStr">
        <is>
          <t>Taxas e Recolhimentos</t>
        </is>
      </c>
      <c r="C118" s="17" t="n"/>
      <c r="D118" s="17" t="n"/>
      <c r="E118" s="17" t="n"/>
      <c r="F118" s="17" t="n"/>
    </row>
    <row r="119">
      <c r="B119" s="8" t="inlineStr">
        <is>
          <t>ART - Taxa Conselho Regional Engenharia</t>
        </is>
      </c>
      <c r="C119" s="12" t="n">
        <v>271.47</v>
      </c>
      <c r="D119" s="15">
        <f>Reajustes!H111</f>
        <v/>
      </c>
      <c r="E119" s="12">
        <f>Reajustes!I111</f>
        <v/>
      </c>
      <c r="F119" s="12">
        <f>E119/12</f>
        <v/>
      </c>
    </row>
    <row r="120">
      <c r="B120" s="18" t="inlineStr">
        <is>
          <t xml:space="preserve">  Total Taxas e Recolhimentos</t>
        </is>
      </c>
      <c r="C120" s="19">
        <f>SUM(C119:C119)</f>
        <v/>
      </c>
      <c r="D120" s="18" t="n"/>
      <c r="E120" s="19">
        <f>SUM(E119:E119)</f>
        <v/>
      </c>
      <c r="F120" s="19">
        <f>E120/12</f>
        <v/>
      </c>
    </row>
    <row r="122">
      <c r="B122" s="5" t="inlineStr">
        <is>
          <t>TOTAL GERAL DE DESPESAS</t>
        </is>
      </c>
      <c r="C122" s="20">
        <f>C12+C18+C23+C36+C48+C71+C108+C116+C120</f>
        <v/>
      </c>
      <c r="D122" s="5" t="n"/>
      <c r="E122" s="20">
        <f>E12+E18+E23+E36+E48+E71+E108+E116+E120</f>
        <v/>
      </c>
      <c r="F122" s="20">
        <f>E122/12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PREVISÃO MENSAL 2026</t>
        </is>
      </c>
    </row>
    <row r="3">
      <c r="B3" s="2" t="inlineStr">
        <is>
          <t>Valores mensais já com reajuste aplicado. Os percentuais vêm da aba 'Reajustes'.</t>
        </is>
      </c>
    </row>
    <row r="5">
      <c r="B5" s="21" t="inlineStr">
        <is>
          <t>Item</t>
        </is>
      </c>
      <c r="C5" s="7" t="inlineStr">
        <is>
          <t>Jan/26</t>
        </is>
      </c>
      <c r="D5" s="7" t="inlineStr">
        <is>
          <t>Fev/26</t>
        </is>
      </c>
      <c r="E5" s="7" t="inlineStr">
        <is>
          <t>Mar/26</t>
        </is>
      </c>
      <c r="F5" s="7" t="inlineStr">
        <is>
          <t>Abr/26</t>
        </is>
      </c>
      <c r="G5" s="7" t="inlineStr">
        <is>
          <t>Mai/26</t>
        </is>
      </c>
      <c r="H5" s="7" t="inlineStr">
        <is>
          <t>Jun/26</t>
        </is>
      </c>
      <c r="I5" s="7" t="inlineStr">
        <is>
          <t>Jul/26</t>
        </is>
      </c>
      <c r="J5" s="7" t="inlineStr">
        <is>
          <t>Ago/26</t>
        </is>
      </c>
      <c r="K5" s="7" t="inlineStr">
        <is>
          <t>Set/26</t>
        </is>
      </c>
      <c r="L5" s="7" t="inlineStr">
        <is>
          <t>Out/26</t>
        </is>
      </c>
      <c r="M5" s="7" t="inlineStr">
        <is>
          <t>Nov/26</t>
        </is>
      </c>
      <c r="N5" s="7" t="inlineStr">
        <is>
          <t>Dez/26</t>
        </is>
      </c>
      <c r="O5" s="7" t="inlineStr">
        <is>
          <t>Total Anual</t>
        </is>
      </c>
    </row>
    <row r="6">
      <c r="B6" s="16" t="inlineStr">
        <is>
          <t>Despesas Financeiras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B7" s="8" t="inlineStr">
        <is>
          <t>Cotas de Capital - Sicoob</t>
        </is>
      </c>
      <c r="C7" s="12">
        <f>0.0*(1+Reajustes!H23)</f>
        <v/>
      </c>
      <c r="D7" s="12">
        <f>0.0*(1+Reajustes!H23)</f>
        <v/>
      </c>
      <c r="E7" s="12">
        <f>0.0*(1+Reajustes!H23)</f>
        <v/>
      </c>
      <c r="F7" s="12">
        <f>0.0*(1+Reajustes!H23)</f>
        <v/>
      </c>
      <c r="G7" s="12">
        <f>0.0*(1+Reajustes!H23)</f>
        <v/>
      </c>
      <c r="H7" s="12">
        <f>0.0*(1+Reajustes!H23)</f>
        <v/>
      </c>
      <c r="I7" s="12">
        <f>0.0*(1+Reajustes!H23)</f>
        <v/>
      </c>
      <c r="J7" s="12">
        <f>0.0*(1+Reajustes!H23)</f>
        <v/>
      </c>
      <c r="K7" s="12">
        <f>0.0*(1+Reajustes!H23)</f>
        <v/>
      </c>
      <c r="L7" s="12">
        <f>0.0*(1+Reajustes!H23)</f>
        <v/>
      </c>
      <c r="M7" s="12">
        <f>0.0*(1+Reajustes!H23)</f>
        <v/>
      </c>
      <c r="N7" s="12">
        <f>60.0*(1+Reajustes!H23)</f>
        <v/>
      </c>
      <c r="O7" s="12">
        <f>SUM(C7:N7)</f>
        <v/>
      </c>
    </row>
    <row r="8">
      <c r="B8" s="8" t="inlineStr">
        <is>
          <t>Reembolso</t>
        </is>
      </c>
      <c r="C8" s="12">
        <f>0.0*(1+Reajustes!H24)</f>
        <v/>
      </c>
      <c r="D8" s="12">
        <f>0.0*(1+Reajustes!H24)</f>
        <v/>
      </c>
      <c r="E8" s="12">
        <f>62.11*(1+Reajustes!H24)</f>
        <v/>
      </c>
      <c r="F8" s="12">
        <f>0.0*(1+Reajustes!H24)</f>
        <v/>
      </c>
      <c r="G8" s="12">
        <f>31.05*(1+Reajustes!H24)</f>
        <v/>
      </c>
      <c r="H8" s="12">
        <f>0.0*(1+Reajustes!H24)</f>
        <v/>
      </c>
      <c r="I8" s="12">
        <f>0.0*(1+Reajustes!H24)</f>
        <v/>
      </c>
      <c r="J8" s="12">
        <f>99.99*(1+Reajustes!H24)</f>
        <v/>
      </c>
      <c r="K8" s="12">
        <f>0.0*(1+Reajustes!H24)</f>
        <v/>
      </c>
      <c r="L8" s="12">
        <f>0.0*(1+Reajustes!H24)</f>
        <v/>
      </c>
      <c r="M8" s="12">
        <f>0.0*(1+Reajustes!H24)</f>
        <v/>
      </c>
      <c r="N8" s="12">
        <f>0.0*(1+Reajustes!H24)</f>
        <v/>
      </c>
      <c r="O8" s="12">
        <f>SUM(C8:N8)</f>
        <v/>
      </c>
    </row>
    <row r="9">
      <c r="B9" s="8" t="inlineStr">
        <is>
          <t>IRRF Poupança</t>
        </is>
      </c>
      <c r="C9" s="12">
        <f>528.32*(1+Reajustes!H25)</f>
        <v/>
      </c>
      <c r="D9" s="12">
        <f>579.8*(1+Reajustes!H25)</f>
        <v/>
      </c>
      <c r="E9" s="12">
        <f>645.55*(1+Reajustes!H25)</f>
        <v/>
      </c>
      <c r="F9" s="12">
        <f>692.6*(1+Reajustes!H25)</f>
        <v/>
      </c>
      <c r="G9" s="12">
        <f>732.26*(1+Reajustes!H25)</f>
        <v/>
      </c>
      <c r="H9" s="12">
        <f>787.2*(1+Reajustes!H25)</f>
        <v/>
      </c>
      <c r="I9" s="12">
        <f>0.0*(1+Reajustes!H25)</f>
        <v/>
      </c>
      <c r="J9" s="12">
        <f>558.95*(1+Reajustes!H25)</f>
        <v/>
      </c>
      <c r="K9" s="12">
        <f>344.95*(1+Reajustes!H25)</f>
        <v/>
      </c>
      <c r="L9" s="12">
        <f>339.15*(1+Reajustes!H25)</f>
        <v/>
      </c>
      <c r="M9" s="12">
        <f>368.44*(1+Reajustes!H25)</f>
        <v/>
      </c>
      <c r="N9" s="12">
        <f>0.0*(1+Reajustes!H25)</f>
        <v/>
      </c>
      <c r="O9" s="12">
        <f>SUM(C9:N9)</f>
        <v/>
      </c>
    </row>
    <row r="10">
      <c r="B10" s="8" t="inlineStr">
        <is>
          <t>Devolução Pagamento Reserva</t>
        </is>
      </c>
      <c r="C10" s="12">
        <f>0.0*(1+Reajustes!H26)</f>
        <v/>
      </c>
      <c r="D10" s="12">
        <f>0.0*(1+Reajustes!H26)</f>
        <v/>
      </c>
      <c r="E10" s="12">
        <f>62.11*(1+Reajustes!H26)</f>
        <v/>
      </c>
      <c r="F10" s="12">
        <f>62.11*(1+Reajustes!H26)</f>
        <v/>
      </c>
      <c r="G10" s="12">
        <f>0.0*(1+Reajustes!H26)</f>
        <v/>
      </c>
      <c r="H10" s="12">
        <f>31.05*(1+Reajustes!H26)</f>
        <v/>
      </c>
      <c r="I10" s="12">
        <f>0.0*(1+Reajustes!H26)</f>
        <v/>
      </c>
      <c r="J10" s="12">
        <f>0.0*(1+Reajustes!H26)</f>
        <v/>
      </c>
      <c r="K10" s="12">
        <f>62.11*(1+Reajustes!H26)</f>
        <v/>
      </c>
      <c r="L10" s="12">
        <f>0.0*(1+Reajustes!H26)</f>
        <v/>
      </c>
      <c r="M10" s="12">
        <f>62.11*(1+Reajustes!H26)</f>
        <v/>
      </c>
      <c r="N10" s="12">
        <f>0.0*(1+Reajustes!H26)</f>
        <v/>
      </c>
      <c r="O10" s="12">
        <f>SUM(C10:N10)</f>
        <v/>
      </c>
    </row>
    <row r="11">
      <c r="B11" s="8" t="inlineStr">
        <is>
          <t>Tarifas Bancárias - Garantidora</t>
        </is>
      </c>
      <c r="C11" s="12">
        <f>660.0*(1+Reajustes!H27)</f>
        <v/>
      </c>
      <c r="D11" s="12">
        <f>660.0*(1+Reajustes!H27)</f>
        <v/>
      </c>
      <c r="E11" s="12">
        <f>660.0*(1+Reajustes!H27)</f>
        <v/>
      </c>
      <c r="F11" s="12">
        <f>660.0*(1+Reajustes!H27)</f>
        <v/>
      </c>
      <c r="G11" s="12">
        <f>660.0*(1+Reajustes!H27)</f>
        <v/>
      </c>
      <c r="H11" s="12">
        <f>660.0*(1+Reajustes!H27)</f>
        <v/>
      </c>
      <c r="I11" s="12">
        <f>660.0*(1+Reajustes!H27)</f>
        <v/>
      </c>
      <c r="J11" s="12">
        <f>660.0*(1+Reajustes!H27)</f>
        <v/>
      </c>
      <c r="K11" s="12">
        <f>660.0*(1+Reajustes!H27)</f>
        <v/>
      </c>
      <c r="L11" s="12">
        <f>660.0*(1+Reajustes!H27)</f>
        <v/>
      </c>
      <c r="M11" s="12">
        <f>660.0*(1+Reajustes!H27)</f>
        <v/>
      </c>
      <c r="N11" s="12">
        <f>0.0*(1+Reajustes!H27)</f>
        <v/>
      </c>
      <c r="O11" s="12">
        <f>SUM(C11:N11)</f>
        <v/>
      </c>
    </row>
    <row r="12">
      <c r="B12" s="18" t="inlineStr">
        <is>
          <t xml:space="preserve">  Total Despesas Financeiras</t>
        </is>
      </c>
      <c r="C12" s="19">
        <f>SUM(C7:C11)</f>
        <v/>
      </c>
      <c r="D12" s="19">
        <f>SUM(D7:D11)</f>
        <v/>
      </c>
      <c r="E12" s="19">
        <f>SUM(E7:E11)</f>
        <v/>
      </c>
      <c r="F12" s="19">
        <f>SUM(F7:F11)</f>
        <v/>
      </c>
      <c r="G12" s="19">
        <f>SUM(G7:G11)</f>
        <v/>
      </c>
      <c r="H12" s="19">
        <f>SUM(H7:H11)</f>
        <v/>
      </c>
      <c r="I12" s="19">
        <f>SUM(I7:I11)</f>
        <v/>
      </c>
      <c r="J12" s="19">
        <f>SUM(J7:J11)</f>
        <v/>
      </c>
      <c r="K12" s="19">
        <f>SUM(K7:K11)</f>
        <v/>
      </c>
      <c r="L12" s="19">
        <f>SUM(L7:L11)</f>
        <v/>
      </c>
      <c r="M12" s="19">
        <f>SUM(M7:M11)</f>
        <v/>
      </c>
      <c r="N12" s="19">
        <f>SUM(N7:N11)</f>
        <v/>
      </c>
      <c r="O12" s="19">
        <f>SUM(O7:O11)</f>
        <v/>
      </c>
    </row>
    <row r="14">
      <c r="B14" s="16" t="inlineStr">
        <is>
          <t>Despesa com Funcionários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B15" s="8" t="inlineStr">
        <is>
          <t>Contrato Mão de Obra Terceirizada</t>
        </is>
      </c>
      <c r="C15" s="12">
        <f>55556.6*(1+Reajustes!H28)</f>
        <v/>
      </c>
      <c r="D15" s="12">
        <f>57451.76*(1+Reajustes!H28)</f>
        <v/>
      </c>
      <c r="E15" s="12">
        <f>57451.76*(1+Reajustes!H28)</f>
        <v/>
      </c>
      <c r="F15" s="12">
        <f>57451.76*(1+Reajustes!H28)</f>
        <v/>
      </c>
      <c r="G15" s="12">
        <f>36676.66*(1+Reajustes!H28)</f>
        <v/>
      </c>
      <c r="H15" s="12">
        <f>0.0*(1+Reajustes!H28)</f>
        <v/>
      </c>
      <c r="I15" s="12">
        <f>126672.42*(1+Reajustes!H28)</f>
        <v/>
      </c>
      <c r="J15" s="12">
        <f>58223.72*(1+Reajustes!H28)</f>
        <v/>
      </c>
      <c r="K15" s="12">
        <f>44218.15*(1+Reajustes!H28)</f>
        <v/>
      </c>
      <c r="L15" s="12">
        <f>41597.04*(1+Reajustes!H28)</f>
        <v/>
      </c>
      <c r="M15" s="12">
        <f>54790.32*(1+Reajustes!H28)</f>
        <v/>
      </c>
      <c r="N15" s="12">
        <f>0.0*(1+Reajustes!H28)</f>
        <v/>
      </c>
      <c r="O15" s="12">
        <f>SUM(C15:N15)</f>
        <v/>
      </c>
    </row>
    <row r="16">
      <c r="B16" s="8" t="inlineStr">
        <is>
          <t>Alimentação e Lanche</t>
        </is>
      </c>
      <c r="C16" s="12">
        <f>427.51*(1+Reajustes!H29)</f>
        <v/>
      </c>
      <c r="D16" s="12">
        <f>275.15*(1+Reajustes!H29)</f>
        <v/>
      </c>
      <c r="E16" s="12">
        <f>300.8*(1+Reajustes!H29)</f>
        <v/>
      </c>
      <c r="F16" s="12">
        <f>282.0*(1+Reajustes!H29)</f>
        <v/>
      </c>
      <c r="G16" s="12">
        <f>253.6*(1+Reajustes!H29)</f>
        <v/>
      </c>
      <c r="H16" s="12">
        <f>458.16*(1+Reajustes!H29)</f>
        <v/>
      </c>
      <c r="I16" s="12">
        <f>300.8*(1+Reajustes!H29)</f>
        <v/>
      </c>
      <c r="J16" s="12">
        <f>0.0*(1+Reajustes!H29)</f>
        <v/>
      </c>
      <c r="K16" s="12">
        <f>0.0*(1+Reajustes!H29)</f>
        <v/>
      </c>
      <c r="L16" s="12">
        <f>0.0*(1+Reajustes!H29)</f>
        <v/>
      </c>
      <c r="M16" s="12">
        <f>0.0*(1+Reajustes!H29)</f>
        <v/>
      </c>
      <c r="N16" s="12">
        <f>0.0*(1+Reajustes!H29)</f>
        <v/>
      </c>
      <c r="O16" s="12">
        <f>SUM(C16:N16)</f>
        <v/>
      </c>
    </row>
    <row r="17">
      <c r="B17" s="8" t="inlineStr">
        <is>
          <t>Padaria</t>
        </is>
      </c>
      <c r="C17" s="12">
        <f>0.0*(1+Reajustes!H30)</f>
        <v/>
      </c>
      <c r="D17" s="12">
        <f>0.0*(1+Reajustes!H30)</f>
        <v/>
      </c>
      <c r="E17" s="12">
        <f>0.0*(1+Reajustes!H30)</f>
        <v/>
      </c>
      <c r="F17" s="12">
        <f>0.0*(1+Reajustes!H30)</f>
        <v/>
      </c>
      <c r="G17" s="12">
        <f>0.0*(1+Reajustes!H30)</f>
        <v/>
      </c>
      <c r="H17" s="12">
        <f>0.0*(1+Reajustes!H30)</f>
        <v/>
      </c>
      <c r="I17" s="12">
        <f>0.0*(1+Reajustes!H30)</f>
        <v/>
      </c>
      <c r="J17" s="12">
        <f>418.0*(1+Reajustes!H30)</f>
        <v/>
      </c>
      <c r="K17" s="12">
        <f>286.39*(1+Reajustes!H30)</f>
        <v/>
      </c>
      <c r="L17" s="12">
        <f>325.1*(1+Reajustes!H30)</f>
        <v/>
      </c>
      <c r="M17" s="12">
        <f>470.2*(1+Reajustes!H30)</f>
        <v/>
      </c>
      <c r="N17" s="12">
        <f>255.75*(1+Reajustes!H30)</f>
        <v/>
      </c>
      <c r="O17" s="12">
        <f>SUM(C17:N17)</f>
        <v/>
      </c>
    </row>
    <row r="18">
      <c r="B18" s="18" t="inlineStr">
        <is>
          <t xml:space="preserve">  Total Despesa com Funcionários</t>
        </is>
      </c>
      <c r="C18" s="19">
        <f>SUM(C15:C17)</f>
        <v/>
      </c>
      <c r="D18" s="19">
        <f>SUM(D15:D17)</f>
        <v/>
      </c>
      <c r="E18" s="19">
        <f>SUM(E15:E17)</f>
        <v/>
      </c>
      <c r="F18" s="19">
        <f>SUM(F15:F17)</f>
        <v/>
      </c>
      <c r="G18" s="19">
        <f>SUM(G15:G17)</f>
        <v/>
      </c>
      <c r="H18" s="19">
        <f>SUM(H15:H17)</f>
        <v/>
      </c>
      <c r="I18" s="19">
        <f>SUM(I15:I17)</f>
        <v/>
      </c>
      <c r="J18" s="19">
        <f>SUM(J15:J17)</f>
        <v/>
      </c>
      <c r="K18" s="19">
        <f>SUM(K15:K17)</f>
        <v/>
      </c>
      <c r="L18" s="19">
        <f>SUM(L15:L17)</f>
        <v/>
      </c>
      <c r="M18" s="19">
        <f>SUM(M15:M17)</f>
        <v/>
      </c>
      <c r="N18" s="19">
        <f>SUM(N15:N17)</f>
        <v/>
      </c>
      <c r="O18" s="19">
        <f>SUM(O15:O17)</f>
        <v/>
      </c>
    </row>
    <row r="20">
      <c r="B20" s="16" t="inlineStr">
        <is>
          <t>Retenções Fiscais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B21" s="8" t="inlineStr">
        <is>
          <t>ISS</t>
        </is>
      </c>
      <c r="C21" s="12">
        <f>3623.35*(1+Reajustes!H31)</f>
        <v/>
      </c>
      <c r="D21" s="12">
        <f>5216.74*(1+Reajustes!H31)</f>
        <v/>
      </c>
      <c r="E21" s="12">
        <f>5333.58*(1+Reajustes!H31)</f>
        <v/>
      </c>
      <c r="F21" s="12">
        <f>3815.81*(1+Reajustes!H31)</f>
        <v/>
      </c>
      <c r="G21" s="12">
        <f>3801.31*(1+Reajustes!H31)</f>
        <v/>
      </c>
      <c r="H21" s="12">
        <f>3744.21*(1+Reajustes!H31)</f>
        <v/>
      </c>
      <c r="I21" s="12">
        <f>579.45*(1+Reajustes!H31)</f>
        <v/>
      </c>
      <c r="J21" s="12">
        <f>4901.8*(1+Reajustes!H31)</f>
        <v/>
      </c>
      <c r="K21" s="12">
        <f>3276.3*(1+Reajustes!H31)</f>
        <v/>
      </c>
      <c r="L21" s="12">
        <f>2817.56*(1+Reajustes!H31)</f>
        <v/>
      </c>
      <c r="M21" s="12">
        <f>3150.41*(1+Reajustes!H31)</f>
        <v/>
      </c>
      <c r="N21" s="12">
        <f>4819.66*(1+Reajustes!H31)</f>
        <v/>
      </c>
      <c r="O21" s="12">
        <f>SUM(C21:N21)</f>
        <v/>
      </c>
    </row>
    <row r="22">
      <c r="B22" s="8" t="inlineStr">
        <is>
          <t>DARF Pis Cofins CSLL</t>
        </is>
      </c>
      <c r="C22" s="12">
        <f>9758.73*(1+Reajustes!H32)</f>
        <v/>
      </c>
      <c r="D22" s="12">
        <f>9225.67*(1+Reajustes!H32)</f>
        <v/>
      </c>
      <c r="E22" s="12">
        <f>6141.35*(1+Reajustes!H32)</f>
        <v/>
      </c>
      <c r="F22" s="12">
        <f>6039.63*(1+Reajustes!H32)</f>
        <v/>
      </c>
      <c r="G22" s="12">
        <f>6041.45*(1+Reajustes!H32)</f>
        <v/>
      </c>
      <c r="H22" s="12">
        <f>1164.67*(1+Reajustes!H32)</f>
        <v/>
      </c>
      <c r="I22" s="12">
        <f>6718.67*(1+Reajustes!H32)</f>
        <v/>
      </c>
      <c r="J22" s="12">
        <f>9371.71*(1+Reajustes!H32)</f>
        <v/>
      </c>
      <c r="K22" s="12">
        <f>9375.14*(1+Reajustes!H32)</f>
        <v/>
      </c>
      <c r="L22" s="12">
        <f>9373.94*(1+Reajustes!H32)</f>
        <v/>
      </c>
      <c r="M22" s="12">
        <f>8378.55*(1+Reajustes!H32)</f>
        <v/>
      </c>
      <c r="N22" s="12">
        <f>11977.88*(1+Reajustes!H32)</f>
        <v/>
      </c>
      <c r="O22" s="12">
        <f>SUM(C22:N22)</f>
        <v/>
      </c>
    </row>
    <row r="23">
      <c r="B23" s="18" t="inlineStr">
        <is>
          <t xml:space="preserve">  Total Retenções Fiscais</t>
        </is>
      </c>
      <c r="C23" s="19">
        <f>SUM(C21:C22)</f>
        <v/>
      </c>
      <c r="D23" s="19">
        <f>SUM(D21:D22)</f>
        <v/>
      </c>
      <c r="E23" s="19">
        <f>SUM(E21:E22)</f>
        <v/>
      </c>
      <c r="F23" s="19">
        <f>SUM(F21:F22)</f>
        <v/>
      </c>
      <c r="G23" s="19">
        <f>SUM(G21:G22)</f>
        <v/>
      </c>
      <c r="H23" s="19">
        <f>SUM(H21:H22)</f>
        <v/>
      </c>
      <c r="I23" s="19">
        <f>SUM(I21:I22)</f>
        <v/>
      </c>
      <c r="J23" s="19">
        <f>SUM(J21:J22)</f>
        <v/>
      </c>
      <c r="K23" s="19">
        <f>SUM(K21:K22)</f>
        <v/>
      </c>
      <c r="L23" s="19">
        <f>SUM(L21:L22)</f>
        <v/>
      </c>
      <c r="M23" s="19">
        <f>SUM(M21:M22)</f>
        <v/>
      </c>
      <c r="N23" s="19">
        <f>SUM(N21:N22)</f>
        <v/>
      </c>
      <c r="O23" s="19">
        <f>SUM(O21:O22)</f>
        <v/>
      </c>
    </row>
    <row r="25">
      <c r="B25" s="16" t="inlineStr">
        <is>
          <t>Despesa Administrativa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B26" s="8" t="inlineStr">
        <is>
          <t>Honorários Administrativos</t>
        </is>
      </c>
      <c r="C26" s="12">
        <f>1862.0*(1+Reajustes!H33)</f>
        <v/>
      </c>
      <c r="D26" s="12">
        <f>1862.0*(1+Reajustes!H33)</f>
        <v/>
      </c>
      <c r="E26" s="12">
        <f>1862.0*(1+Reajustes!H33)</f>
        <v/>
      </c>
      <c r="F26" s="12">
        <f>1862.0*(1+Reajustes!H33)</f>
        <v/>
      </c>
      <c r="G26" s="12">
        <f>1862.0*(1+Reajustes!H33)</f>
        <v/>
      </c>
      <c r="H26" s="12">
        <f>1862.0*(1+Reajustes!H33)</f>
        <v/>
      </c>
      <c r="I26" s="12">
        <f>1862.0*(1+Reajustes!H33)</f>
        <v/>
      </c>
      <c r="J26" s="12">
        <f>1862.0*(1+Reajustes!H33)</f>
        <v/>
      </c>
      <c r="K26" s="12">
        <f>1862.0*(1+Reajustes!H33)</f>
        <v/>
      </c>
      <c r="L26" s="12">
        <f>1862.0*(1+Reajustes!H33)</f>
        <v/>
      </c>
      <c r="M26" s="12">
        <f>1862.0*(1+Reajustes!H33)</f>
        <v/>
      </c>
      <c r="N26" s="12">
        <f>1960.0*(1+Reajustes!H33)</f>
        <v/>
      </c>
      <c r="O26" s="12">
        <f>SUM(C26:N26)</f>
        <v/>
      </c>
    </row>
    <row r="27">
      <c r="B27" s="8" t="inlineStr">
        <is>
          <t>Honorários Síndico</t>
        </is>
      </c>
      <c r="C27" s="12">
        <f>3200.0*(1+Reajustes!H34)</f>
        <v/>
      </c>
      <c r="D27" s="12">
        <f>3200.0*(1+Reajustes!H34)</f>
        <v/>
      </c>
      <c r="E27" s="12">
        <f>3200.0*(1+Reajustes!H34)</f>
        <v/>
      </c>
      <c r="F27" s="12">
        <f>3200.0*(1+Reajustes!H34)</f>
        <v/>
      </c>
      <c r="G27" s="12">
        <f>3200.0*(1+Reajustes!H34)</f>
        <v/>
      </c>
      <c r="H27" s="12">
        <f>3200.0*(1+Reajustes!H34)</f>
        <v/>
      </c>
      <c r="I27" s="12">
        <f>3200.0*(1+Reajustes!H34)</f>
        <v/>
      </c>
      <c r="J27" s="12">
        <f>3200.0*(1+Reajustes!H34)</f>
        <v/>
      </c>
      <c r="K27" s="12">
        <f>3200.0*(1+Reajustes!H34)</f>
        <v/>
      </c>
      <c r="L27" s="12">
        <f>3200.0*(1+Reajustes!H34)</f>
        <v/>
      </c>
      <c r="M27" s="12">
        <f>3200.0*(1+Reajustes!H34)</f>
        <v/>
      </c>
      <c r="N27" s="12">
        <f>3200.0*(1+Reajustes!H34)</f>
        <v/>
      </c>
      <c r="O27" s="12">
        <f>SUM(C27:N27)</f>
        <v/>
      </c>
    </row>
    <row r="28">
      <c r="B28" s="8" t="inlineStr">
        <is>
          <t>Despesas Com Correios</t>
        </is>
      </c>
      <c r="C28" s="12">
        <f>0.0*(1+Reajustes!H35)</f>
        <v/>
      </c>
      <c r="D28" s="12">
        <f>114.6*(1+Reajustes!H35)</f>
        <v/>
      </c>
      <c r="E28" s="12">
        <f>18.4*(1+Reajustes!H35)</f>
        <v/>
      </c>
      <c r="F28" s="12">
        <f>0.0*(1+Reajustes!H35)</f>
        <v/>
      </c>
      <c r="G28" s="12">
        <f>0.0*(1+Reajustes!H35)</f>
        <v/>
      </c>
      <c r="H28" s="12">
        <f>0.0*(1+Reajustes!H35)</f>
        <v/>
      </c>
      <c r="I28" s="12">
        <f>0.0*(1+Reajustes!H35)</f>
        <v/>
      </c>
      <c r="J28" s="12">
        <f>0.0*(1+Reajustes!H35)</f>
        <v/>
      </c>
      <c r="K28" s="12">
        <f>0.0*(1+Reajustes!H35)</f>
        <v/>
      </c>
      <c r="L28" s="12">
        <f>0.0*(1+Reajustes!H35)</f>
        <v/>
      </c>
      <c r="M28" s="12">
        <f>0.0*(1+Reajustes!H35)</f>
        <v/>
      </c>
      <c r="N28" s="12">
        <f>0.0*(1+Reajustes!H35)</f>
        <v/>
      </c>
      <c r="O28" s="12">
        <f>SUM(C28:N28)</f>
        <v/>
      </c>
    </row>
    <row r="29">
      <c r="B29" s="8" t="inlineStr">
        <is>
          <t>Despesas Com Cartório</t>
        </is>
      </c>
      <c r="C29" s="12">
        <f>0.0*(1+Reajustes!H36)</f>
        <v/>
      </c>
      <c r="D29" s="12">
        <f>114.6*(1+Reajustes!H36)</f>
        <v/>
      </c>
      <c r="E29" s="12">
        <f>0.0*(1+Reajustes!H36)</f>
        <v/>
      </c>
      <c r="F29" s="12">
        <f>342.96*(1+Reajustes!H36)</f>
        <v/>
      </c>
      <c r="G29" s="12">
        <f>0.0*(1+Reajustes!H36)</f>
        <v/>
      </c>
      <c r="H29" s="12">
        <f>161.25*(1+Reajustes!H36)</f>
        <v/>
      </c>
      <c r="I29" s="12">
        <f>99.91*(1+Reajustes!H36)</f>
        <v/>
      </c>
      <c r="J29" s="12">
        <f>0.0*(1+Reajustes!H36)</f>
        <v/>
      </c>
      <c r="K29" s="12">
        <f>0.0*(1+Reajustes!H36)</f>
        <v/>
      </c>
      <c r="L29" s="12">
        <f>0.0*(1+Reajustes!H36)</f>
        <v/>
      </c>
      <c r="M29" s="12">
        <f>0.0*(1+Reajustes!H36)</f>
        <v/>
      </c>
      <c r="N29" s="12">
        <f>0.0*(1+Reajustes!H36)</f>
        <v/>
      </c>
      <c r="O29" s="12">
        <f>SUM(C29:N29)</f>
        <v/>
      </c>
    </row>
    <row r="30">
      <c r="B30" s="8" t="inlineStr">
        <is>
          <t>Despesas Com Material de Expediente</t>
        </is>
      </c>
      <c r="C30" s="12">
        <f>0.0*(1+Reajustes!H37)</f>
        <v/>
      </c>
      <c r="D30" s="12">
        <f>0.0*(1+Reajustes!H37)</f>
        <v/>
      </c>
      <c r="E30" s="12">
        <f>263.34*(1+Reajustes!H37)</f>
        <v/>
      </c>
      <c r="F30" s="12">
        <f>0.0*(1+Reajustes!H37)</f>
        <v/>
      </c>
      <c r="G30" s="12">
        <f>0.0*(1+Reajustes!H37)</f>
        <v/>
      </c>
      <c r="H30" s="12">
        <f>471.58*(1+Reajustes!H37)</f>
        <v/>
      </c>
      <c r="I30" s="12">
        <f>0.0*(1+Reajustes!H37)</f>
        <v/>
      </c>
      <c r="J30" s="12">
        <f>0.0*(1+Reajustes!H37)</f>
        <v/>
      </c>
      <c r="K30" s="12">
        <f>0.0*(1+Reajustes!H37)</f>
        <v/>
      </c>
      <c r="L30" s="12">
        <f>0.0*(1+Reajustes!H37)</f>
        <v/>
      </c>
      <c r="M30" s="12">
        <f>0.0*(1+Reajustes!H37)</f>
        <v/>
      </c>
      <c r="N30" s="12">
        <f>0.0*(1+Reajustes!H37)</f>
        <v/>
      </c>
      <c r="O30" s="12">
        <f>SUM(C30:N30)</f>
        <v/>
      </c>
    </row>
    <row r="31">
      <c r="B31" s="8" t="inlineStr">
        <is>
          <t>Honorários Advocatícios</t>
        </is>
      </c>
      <c r="C31" s="12">
        <f>0.0*(1+Reajustes!H38)</f>
        <v/>
      </c>
      <c r="D31" s="12">
        <f>759.0*(1+Reajustes!H38)</f>
        <v/>
      </c>
      <c r="E31" s="12">
        <f>1518.0*(1+Reajustes!H38)</f>
        <v/>
      </c>
      <c r="F31" s="12">
        <f>1518.0*(1+Reajustes!H38)</f>
        <v/>
      </c>
      <c r="G31" s="12">
        <f>1518.0*(1+Reajustes!H38)</f>
        <v/>
      </c>
      <c r="H31" s="12">
        <f>1518.0*(1+Reajustes!H38)</f>
        <v/>
      </c>
      <c r="I31" s="12">
        <f>1518.0*(1+Reajustes!H38)</f>
        <v/>
      </c>
      <c r="J31" s="12">
        <f>1518.0*(1+Reajustes!H38)</f>
        <v/>
      </c>
      <c r="K31" s="12">
        <f>1518.0*(1+Reajustes!H38)</f>
        <v/>
      </c>
      <c r="L31" s="12">
        <f>1518.0*(1+Reajustes!H38)</f>
        <v/>
      </c>
      <c r="M31" s="12">
        <f>1518.0*(1+Reajustes!H38)</f>
        <v/>
      </c>
      <c r="N31" s="12">
        <f>1518.0*(1+Reajustes!H38)</f>
        <v/>
      </c>
      <c r="O31" s="12">
        <f>SUM(C31:N31)</f>
        <v/>
      </c>
    </row>
    <row r="32">
      <c r="B32" s="8" t="inlineStr">
        <is>
          <t>Custas Processuais</t>
        </is>
      </c>
      <c r="C32" s="12">
        <f>0.0*(1+Reajustes!H39)</f>
        <v/>
      </c>
      <c r="D32" s="12">
        <f>0.0*(1+Reajustes!H39)</f>
        <v/>
      </c>
      <c r="E32" s="12">
        <f>0.0*(1+Reajustes!H39)</f>
        <v/>
      </c>
      <c r="F32" s="12">
        <f>0.0*(1+Reajustes!H39)</f>
        <v/>
      </c>
      <c r="G32" s="12">
        <f>0.0*(1+Reajustes!H39)</f>
        <v/>
      </c>
      <c r="H32" s="12">
        <f>0.0*(1+Reajustes!H39)</f>
        <v/>
      </c>
      <c r="I32" s="12">
        <f>112.28*(1+Reajustes!H39)</f>
        <v/>
      </c>
      <c r="J32" s="12">
        <f>404.74*(1+Reajustes!H39)</f>
        <v/>
      </c>
      <c r="K32" s="12">
        <f>91.56*(1+Reajustes!H39)</f>
        <v/>
      </c>
      <c r="L32" s="12">
        <f>404.74*(1+Reajustes!H39)</f>
        <v/>
      </c>
      <c r="M32" s="12">
        <f>0.0*(1+Reajustes!H39)</f>
        <v/>
      </c>
      <c r="N32" s="12">
        <f>0.0*(1+Reajustes!H39)</f>
        <v/>
      </c>
      <c r="O32" s="12">
        <f>SUM(C32:N32)</f>
        <v/>
      </c>
    </row>
    <row r="33">
      <c r="B33" s="8" t="inlineStr">
        <is>
          <t>Multa-Penalidade</t>
        </is>
      </c>
      <c r="C33" s="12">
        <f>0.0*(1+Reajustes!H40)</f>
        <v/>
      </c>
      <c r="D33" s="12">
        <f>0.0*(1+Reajustes!H40)</f>
        <v/>
      </c>
      <c r="E33" s="12">
        <f>0.0*(1+Reajustes!H40)</f>
        <v/>
      </c>
      <c r="F33" s="12">
        <f>0.0*(1+Reajustes!H40)</f>
        <v/>
      </c>
      <c r="G33" s="12">
        <f>0.0*(1+Reajustes!H40)</f>
        <v/>
      </c>
      <c r="H33" s="12">
        <f>0.0*(1+Reajustes!H40)</f>
        <v/>
      </c>
      <c r="I33" s="12">
        <f>0.0*(1+Reajustes!H40)</f>
        <v/>
      </c>
      <c r="J33" s="12">
        <f>0.0*(1+Reajustes!H40)</f>
        <v/>
      </c>
      <c r="K33" s="12">
        <f>0.0*(1+Reajustes!H40)</f>
        <v/>
      </c>
      <c r="L33" s="12">
        <f>22.3*(1+Reajustes!H40)</f>
        <v/>
      </c>
      <c r="M33" s="12">
        <f>0.0*(1+Reajustes!H40)</f>
        <v/>
      </c>
      <c r="N33" s="12">
        <f>0.0*(1+Reajustes!H40)</f>
        <v/>
      </c>
      <c r="O33" s="12">
        <f>SUM(C33:N33)</f>
        <v/>
      </c>
    </row>
    <row r="34">
      <c r="B34" s="8" t="inlineStr">
        <is>
          <t>Taxa Antecipação Garantidora</t>
        </is>
      </c>
      <c r="C34" s="12">
        <f>2939.58*(1+Reajustes!H41)</f>
        <v/>
      </c>
      <c r="D34" s="12">
        <f>3678.04*(1+Reajustes!H41)</f>
        <v/>
      </c>
      <c r="E34" s="12">
        <f>3514.94*(1+Reajustes!H41)</f>
        <v/>
      </c>
      <c r="F34" s="12">
        <f>3459.27*(1+Reajustes!H41)</f>
        <v/>
      </c>
      <c r="G34" s="12">
        <f>3540.76*(1+Reajustes!H41)</f>
        <v/>
      </c>
      <c r="H34" s="12">
        <f>3601.87*(1+Reajustes!H41)</f>
        <v/>
      </c>
      <c r="I34" s="12">
        <f>3601.8*(1+Reajustes!H41)</f>
        <v/>
      </c>
      <c r="J34" s="12">
        <f>3671.78*(1+Reajustes!H41)</f>
        <v/>
      </c>
      <c r="K34" s="12">
        <f>3647.33*(1+Reajustes!H41)</f>
        <v/>
      </c>
      <c r="L34" s="12">
        <f>3577.78*(1+Reajustes!H41)</f>
        <v/>
      </c>
      <c r="M34" s="12">
        <f>3685.29*(1+Reajustes!H41)</f>
        <v/>
      </c>
      <c r="N34" s="12">
        <f>0.0*(1+Reajustes!H41)</f>
        <v/>
      </c>
      <c r="O34" s="12">
        <f>SUM(C34:N34)</f>
        <v/>
      </c>
    </row>
    <row r="35">
      <c r="B35" s="8" t="inlineStr">
        <is>
          <t>Despesa com Deslocamento</t>
        </is>
      </c>
      <c r="C35" s="12">
        <f>0.0*(1+Reajustes!H42)</f>
        <v/>
      </c>
      <c r="D35" s="12">
        <f>0.0*(1+Reajustes!H42)</f>
        <v/>
      </c>
      <c r="E35" s="12">
        <f>30.63*(1+Reajustes!H42)</f>
        <v/>
      </c>
      <c r="F35" s="12">
        <f>0.0*(1+Reajustes!H42)</f>
        <v/>
      </c>
      <c r="G35" s="12">
        <f>0.0*(1+Reajustes!H42)</f>
        <v/>
      </c>
      <c r="H35" s="12">
        <f>0.0*(1+Reajustes!H42)</f>
        <v/>
      </c>
      <c r="I35" s="12">
        <f>0.0*(1+Reajustes!H42)</f>
        <v/>
      </c>
      <c r="J35" s="12">
        <f>0.0*(1+Reajustes!H42)</f>
        <v/>
      </c>
      <c r="K35" s="12">
        <f>0.0*(1+Reajustes!H42)</f>
        <v/>
      </c>
      <c r="L35" s="12">
        <f>0.0*(1+Reajustes!H42)</f>
        <v/>
      </c>
      <c r="M35" s="12">
        <f>0.0*(1+Reajustes!H42)</f>
        <v/>
      </c>
      <c r="N35" s="12">
        <f>0.0*(1+Reajustes!H42)</f>
        <v/>
      </c>
      <c r="O35" s="12">
        <f>SUM(C35:N35)</f>
        <v/>
      </c>
    </row>
    <row r="36">
      <c r="B36" s="18" t="inlineStr">
        <is>
          <t xml:space="preserve">  Total Despesa Administrativa</t>
        </is>
      </c>
      <c r="C36" s="19">
        <f>SUM(C26:C35)</f>
        <v/>
      </c>
      <c r="D36" s="19">
        <f>SUM(D26:D35)</f>
        <v/>
      </c>
      <c r="E36" s="19">
        <f>SUM(E26:E35)</f>
        <v/>
      </c>
      <c r="F36" s="19">
        <f>SUM(F26:F35)</f>
        <v/>
      </c>
      <c r="G36" s="19">
        <f>SUM(G26:G35)</f>
        <v/>
      </c>
      <c r="H36" s="19">
        <f>SUM(H26:H35)</f>
        <v/>
      </c>
      <c r="I36" s="19">
        <f>SUM(I26:I35)</f>
        <v/>
      </c>
      <c r="J36" s="19">
        <f>SUM(J26:J35)</f>
        <v/>
      </c>
      <c r="K36" s="19">
        <f>SUM(K26:K35)</f>
        <v/>
      </c>
      <c r="L36" s="19">
        <f>SUM(L26:L35)</f>
        <v/>
      </c>
      <c r="M36" s="19">
        <f>SUM(M26:M35)</f>
        <v/>
      </c>
      <c r="N36" s="19">
        <f>SUM(N26:N35)</f>
        <v/>
      </c>
      <c r="O36" s="19">
        <f>SUM(O26:O35)</f>
        <v/>
      </c>
    </row>
    <row r="38">
      <c r="B38" s="16" t="inlineStr">
        <is>
          <t>Manutenção</t>
        </is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B39" s="8" t="inlineStr">
        <is>
          <t>Contrato Manutenção Elevador</t>
        </is>
      </c>
      <c r="C39" s="12">
        <f>1452.79*(1+Reajustes!H43)</f>
        <v/>
      </c>
      <c r="D39" s="12">
        <f>1452.79*(1+Reajustes!H43)</f>
        <v/>
      </c>
      <c r="E39" s="12">
        <f>1452.79*(1+Reajustes!H43)</f>
        <v/>
      </c>
      <c r="F39" s="12">
        <f>1452.79*(1+Reajustes!H43)</f>
        <v/>
      </c>
      <c r="G39" s="12">
        <f>1452.79*(1+Reajustes!H43)</f>
        <v/>
      </c>
      <c r="H39" s="12">
        <f>1452.79*(1+Reajustes!H43)</f>
        <v/>
      </c>
      <c r="I39" s="12">
        <f>1452.79*(1+Reajustes!H43)</f>
        <v/>
      </c>
      <c r="J39" s="12">
        <f>1452.79*(1+Reajustes!H43)</f>
        <v/>
      </c>
      <c r="K39" s="12">
        <f>1452.79*(1+Reajustes!H43)</f>
        <v/>
      </c>
      <c r="L39" s="12">
        <f>1452.79*(1+Reajustes!H43)</f>
        <v/>
      </c>
      <c r="M39" s="12">
        <f>1452.79*(1+Reajustes!H43)</f>
        <v/>
      </c>
      <c r="N39" s="12">
        <f>1452.79*(1+Reajustes!H43)</f>
        <v/>
      </c>
      <c r="O39" s="12">
        <f>SUM(C39:N39)</f>
        <v/>
      </c>
    </row>
    <row r="40">
      <c r="B40" s="8" t="inlineStr">
        <is>
          <t>Contrato Manutenção Piscina</t>
        </is>
      </c>
      <c r="C40" s="12">
        <f>1500.0*(1+Reajustes!H44)</f>
        <v/>
      </c>
      <c r="D40" s="12">
        <f>1800.0*(1+Reajustes!H44)</f>
        <v/>
      </c>
      <c r="E40" s="12">
        <f>1500.0*(1+Reajustes!H44)</f>
        <v/>
      </c>
      <c r="F40" s="12">
        <f>1500.0*(1+Reajustes!H44)</f>
        <v/>
      </c>
      <c r="G40" s="12">
        <f>1500.0*(1+Reajustes!H44)</f>
        <v/>
      </c>
      <c r="H40" s="12">
        <f>1500.0*(1+Reajustes!H44)</f>
        <v/>
      </c>
      <c r="I40" s="12">
        <f>1500.0*(1+Reajustes!H44)</f>
        <v/>
      </c>
      <c r="J40" s="12">
        <f>1500.0*(1+Reajustes!H44)</f>
        <v/>
      </c>
      <c r="K40" s="12">
        <f>1446.0*(1+Reajustes!H44)</f>
        <v/>
      </c>
      <c r="L40" s="12">
        <f>1446.0*(1+Reajustes!H44)</f>
        <v/>
      </c>
      <c r="M40" s="12">
        <f>1446.0*(1+Reajustes!H44)</f>
        <v/>
      </c>
      <c r="N40" s="12">
        <f>1446.0*(1+Reajustes!H44)</f>
        <v/>
      </c>
      <c r="O40" s="12">
        <f>SUM(C40:N40)</f>
        <v/>
      </c>
    </row>
    <row r="41">
      <c r="B41" s="8" t="inlineStr">
        <is>
          <t>Contrato Manutenção Jardinagem</t>
        </is>
      </c>
      <c r="C41" s="12">
        <f>1100.0*(1+Reajustes!H45)</f>
        <v/>
      </c>
      <c r="D41" s="12">
        <f>1100.0*(1+Reajustes!H45)</f>
        <v/>
      </c>
      <c r="E41" s="12">
        <f>1100.0*(1+Reajustes!H45)</f>
        <v/>
      </c>
      <c r="F41" s="12">
        <f>1100.0*(1+Reajustes!H45)</f>
        <v/>
      </c>
      <c r="G41" s="12">
        <f>1045.0*(1+Reajustes!H45)</f>
        <v/>
      </c>
      <c r="H41" s="12">
        <f>1045.0*(1+Reajustes!H45)</f>
        <v/>
      </c>
      <c r="I41" s="12">
        <f>1045.0*(1+Reajustes!H45)</f>
        <v/>
      </c>
      <c r="J41" s="12">
        <f>1100.0*(1+Reajustes!H45)</f>
        <v/>
      </c>
      <c r="K41" s="12">
        <f>0.0*(1+Reajustes!H45)</f>
        <v/>
      </c>
      <c r="L41" s="12">
        <f>0.0*(1+Reajustes!H45)</f>
        <v/>
      </c>
      <c r="M41" s="12">
        <f>0.0*(1+Reajustes!H45)</f>
        <v/>
      </c>
      <c r="N41" s="12">
        <f>1140.0*(1+Reajustes!H45)</f>
        <v/>
      </c>
      <c r="O41" s="12">
        <f>SUM(C41:N41)</f>
        <v/>
      </c>
    </row>
    <row r="42">
      <c r="B42" s="8" t="inlineStr">
        <is>
          <t>Contrato Manutenção Segurança Eletrônica</t>
        </is>
      </c>
      <c r="C42" s="12">
        <f>820.0*(1+Reajustes!H46)</f>
        <v/>
      </c>
      <c r="D42" s="12">
        <f>886.54*(1+Reajustes!H46)</f>
        <v/>
      </c>
      <c r="E42" s="12">
        <f>1400.0*(1+Reajustes!H46)</f>
        <v/>
      </c>
      <c r="F42" s="12">
        <f>1400.0*(1+Reajustes!H46)</f>
        <v/>
      </c>
      <c r="G42" s="12">
        <f>1355.48*(1+Reajustes!H46)</f>
        <v/>
      </c>
      <c r="H42" s="12">
        <f>1355.48*(1+Reajustes!H46)</f>
        <v/>
      </c>
      <c r="I42" s="12">
        <f>1355.48*(1+Reajustes!H46)</f>
        <v/>
      </c>
      <c r="J42" s="12">
        <f>1355.48*(1+Reajustes!H46)</f>
        <v/>
      </c>
      <c r="K42" s="12">
        <f>1372.0*(1+Reajustes!H46)</f>
        <v/>
      </c>
      <c r="L42" s="12">
        <f>1372.0*(1+Reajustes!H46)</f>
        <v/>
      </c>
      <c r="M42" s="12">
        <f>1372.0*(1+Reajustes!H46)</f>
        <v/>
      </c>
      <c r="N42" s="12">
        <f>1372.0*(1+Reajustes!H46)</f>
        <v/>
      </c>
      <c r="O42" s="12">
        <f>SUM(C42:N42)</f>
        <v/>
      </c>
    </row>
    <row r="43">
      <c r="B43" s="8" t="inlineStr">
        <is>
          <t>Contrato de Manutenção de Desinsetização</t>
        </is>
      </c>
      <c r="C43" s="12">
        <f>0.0*(1+Reajustes!H47)</f>
        <v/>
      </c>
      <c r="D43" s="12">
        <f>604.33*(1+Reajustes!H47)</f>
        <v/>
      </c>
      <c r="E43" s="12">
        <f>604.33*(1+Reajustes!H47)</f>
        <v/>
      </c>
      <c r="F43" s="12">
        <f>604.33*(1+Reajustes!H47)</f>
        <v/>
      </c>
      <c r="G43" s="12">
        <f>604.33*(1+Reajustes!H47)</f>
        <v/>
      </c>
      <c r="H43" s="12">
        <f>604.33*(1+Reajustes!H47)</f>
        <v/>
      </c>
      <c r="I43" s="12">
        <f>604.33*(1+Reajustes!H47)</f>
        <v/>
      </c>
      <c r="J43" s="12">
        <f>601.55*(1+Reajustes!H47)</f>
        <v/>
      </c>
      <c r="K43" s="12">
        <f>601.55*(1+Reajustes!H47)</f>
        <v/>
      </c>
      <c r="L43" s="12">
        <f>601.55*(1+Reajustes!H47)</f>
        <v/>
      </c>
      <c r="M43" s="12">
        <f>601.55*(1+Reajustes!H47)</f>
        <v/>
      </c>
      <c r="N43" s="12">
        <f>601.55*(1+Reajustes!H47)</f>
        <v/>
      </c>
      <c r="O43" s="12">
        <f>SUM(C43:N43)</f>
        <v/>
      </c>
    </row>
    <row r="44">
      <c r="B44" s="8" t="inlineStr">
        <is>
          <t>Contrato Manutenção de Segurança</t>
        </is>
      </c>
      <c r="C44" s="12">
        <f>615.68*(1+Reajustes!H48)</f>
        <v/>
      </c>
      <c r="D44" s="12">
        <f>0.0*(1+Reajustes!H48)</f>
        <v/>
      </c>
      <c r="E44" s="12">
        <f>0.0*(1+Reajustes!H48)</f>
        <v/>
      </c>
      <c r="F44" s="12">
        <f>203.6*(1+Reajustes!H48)</f>
        <v/>
      </c>
      <c r="G44" s="12">
        <f>0.0*(1+Reajustes!H48)</f>
        <v/>
      </c>
      <c r="H44" s="12">
        <f>0.0*(1+Reajustes!H48)</f>
        <v/>
      </c>
      <c r="I44" s="12">
        <f>0.0*(1+Reajustes!H48)</f>
        <v/>
      </c>
      <c r="J44" s="12">
        <f>0.0*(1+Reajustes!H48)</f>
        <v/>
      </c>
      <c r="K44" s="12">
        <f>0.0*(1+Reajustes!H48)</f>
        <v/>
      </c>
      <c r="L44" s="12">
        <f>0.0*(1+Reajustes!H48)</f>
        <v/>
      </c>
      <c r="M44" s="12">
        <f>0.0*(1+Reajustes!H48)</f>
        <v/>
      </c>
      <c r="N44" s="12">
        <f>0.0*(1+Reajustes!H48)</f>
        <v/>
      </c>
      <c r="O44" s="12">
        <f>SUM(C44:N44)</f>
        <v/>
      </c>
    </row>
    <row r="45">
      <c r="B45" s="8" t="inlineStr">
        <is>
          <t>Contrato Manutenção Bombas</t>
        </is>
      </c>
      <c r="C45" s="12">
        <f>282.17*(1+Reajustes!H49)</f>
        <v/>
      </c>
      <c r="D45" s="12">
        <f>305.68*(1+Reajustes!H49)</f>
        <v/>
      </c>
      <c r="E45" s="12">
        <f>305.81*(1+Reajustes!H49)</f>
        <v/>
      </c>
      <c r="F45" s="12">
        <f>281.85*(1+Reajustes!H49)</f>
        <v/>
      </c>
      <c r="G45" s="12">
        <f>281.91*(1+Reajustes!H49)</f>
        <v/>
      </c>
      <c r="H45" s="12">
        <f>281.85*(1+Reajustes!H49)</f>
        <v/>
      </c>
      <c r="I45" s="12">
        <f>282.0*(1+Reajustes!H49)</f>
        <v/>
      </c>
      <c r="J45" s="12">
        <f>282.0*(1+Reajustes!H49)</f>
        <v/>
      </c>
      <c r="K45" s="12">
        <f>281.91*(1+Reajustes!H49)</f>
        <v/>
      </c>
      <c r="L45" s="12">
        <f>282.0*(1+Reajustes!H49)</f>
        <v/>
      </c>
      <c r="M45" s="12">
        <f>281.82*(1+Reajustes!H49)</f>
        <v/>
      </c>
      <c r="N45" s="12">
        <f>281.94*(1+Reajustes!H49)</f>
        <v/>
      </c>
      <c r="O45" s="12">
        <f>SUM(C45:N45)</f>
        <v/>
      </c>
    </row>
    <row r="46">
      <c r="B46" s="8" t="inlineStr">
        <is>
          <t>Contrato Cx. de Gordura - Fossa e Esgoto</t>
        </is>
      </c>
      <c r="C46" s="12">
        <f>967.6*(1+Reajustes!H50)</f>
        <v/>
      </c>
      <c r="D46" s="12">
        <f>0.0*(1+Reajustes!H50)</f>
        <v/>
      </c>
      <c r="E46" s="12">
        <f>2085.76*(1+Reajustes!H50)</f>
        <v/>
      </c>
      <c r="F46" s="12">
        <f>967.6*(1+Reajustes!H50)</f>
        <v/>
      </c>
      <c r="G46" s="12">
        <f>967.6*(1+Reajustes!H50)</f>
        <v/>
      </c>
      <c r="H46" s="12">
        <f>967.6*(1+Reajustes!H50)</f>
        <v/>
      </c>
      <c r="I46" s="12">
        <f>2120.59*(1+Reajustes!H50)</f>
        <v/>
      </c>
      <c r="J46" s="12">
        <f>967.6*(1+Reajustes!H50)</f>
        <v/>
      </c>
      <c r="K46" s="12">
        <f>961.1*(1+Reajustes!H50)</f>
        <v/>
      </c>
      <c r="L46" s="12">
        <f>961.1*(1+Reajustes!H50)</f>
        <v/>
      </c>
      <c r="M46" s="12">
        <f>961.1*(1+Reajustes!H50)</f>
        <v/>
      </c>
      <c r="N46" s="12">
        <f>1231.75*(1+Reajustes!H50)</f>
        <v/>
      </c>
      <c r="O46" s="12">
        <f>SUM(C46:N46)</f>
        <v/>
      </c>
    </row>
    <row r="47">
      <c r="B47" s="8" t="inlineStr">
        <is>
          <t>Contrato Manutenção ETE</t>
        </is>
      </c>
      <c r="C47" s="12">
        <f>0.0*(1+Reajustes!H51)</f>
        <v/>
      </c>
      <c r="D47" s="12">
        <f>967.6*(1+Reajustes!H51)</f>
        <v/>
      </c>
      <c r="E47" s="12">
        <f>0.0*(1+Reajustes!H51)</f>
        <v/>
      </c>
      <c r="F47" s="12">
        <f>0.0*(1+Reajustes!H51)</f>
        <v/>
      </c>
      <c r="G47" s="12">
        <f>0.0*(1+Reajustes!H51)</f>
        <v/>
      </c>
      <c r="H47" s="12">
        <f>0.0*(1+Reajustes!H51)</f>
        <v/>
      </c>
      <c r="I47" s="12">
        <f>0.0*(1+Reajustes!H51)</f>
        <v/>
      </c>
      <c r="J47" s="12">
        <f>0.0*(1+Reajustes!H51)</f>
        <v/>
      </c>
      <c r="K47" s="12">
        <f>0.0*(1+Reajustes!H51)</f>
        <v/>
      </c>
      <c r="L47" s="12">
        <f>0.0*(1+Reajustes!H51)</f>
        <v/>
      </c>
      <c r="M47" s="12">
        <f>0.0*(1+Reajustes!H51)</f>
        <v/>
      </c>
      <c r="N47" s="12">
        <f>0.0*(1+Reajustes!H51)</f>
        <v/>
      </c>
      <c r="O47" s="12">
        <f>SUM(C47:N47)</f>
        <v/>
      </c>
    </row>
    <row r="48">
      <c r="B48" s="18" t="inlineStr">
        <is>
          <t xml:space="preserve">  Total Manutenção</t>
        </is>
      </c>
      <c r="C48" s="19">
        <f>SUM(C39:C47)</f>
        <v/>
      </c>
      <c r="D48" s="19">
        <f>SUM(D39:D47)</f>
        <v/>
      </c>
      <c r="E48" s="19">
        <f>SUM(E39:E47)</f>
        <v/>
      </c>
      <c r="F48" s="19">
        <f>SUM(F39:F47)</f>
        <v/>
      </c>
      <c r="G48" s="19">
        <f>SUM(G39:G47)</f>
        <v/>
      </c>
      <c r="H48" s="19">
        <f>SUM(H39:H47)</f>
        <v/>
      </c>
      <c r="I48" s="19">
        <f>SUM(I39:I47)</f>
        <v/>
      </c>
      <c r="J48" s="19">
        <f>SUM(J39:J47)</f>
        <v/>
      </c>
      <c r="K48" s="19">
        <f>SUM(K39:K47)</f>
        <v/>
      </c>
      <c r="L48" s="19">
        <f>SUM(L39:L47)</f>
        <v/>
      </c>
      <c r="M48" s="19">
        <f>SUM(M39:M47)</f>
        <v/>
      </c>
      <c r="N48" s="19">
        <f>SUM(N39:N47)</f>
        <v/>
      </c>
      <c r="O48" s="19">
        <f>SUM(O39:O47)</f>
        <v/>
      </c>
    </row>
    <row r="50">
      <c r="B50" s="16" t="inlineStr">
        <is>
          <t>Aquisição de Materiais</t>
        </is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B51" s="8" t="inlineStr">
        <is>
          <t>Material de Limpeza</t>
        </is>
      </c>
      <c r="C51" s="12">
        <f>1951.93*(1+Reajustes!H52)</f>
        <v/>
      </c>
      <c r="D51" s="12">
        <f>1545.92*(1+Reajustes!H52)</f>
        <v/>
      </c>
      <c r="E51" s="12">
        <f>902.1*(1+Reajustes!H52)</f>
        <v/>
      </c>
      <c r="F51" s="12">
        <f>1799.9*(1+Reajustes!H52)</f>
        <v/>
      </c>
      <c r="G51" s="12">
        <f>1566.73*(1+Reajustes!H52)</f>
        <v/>
      </c>
      <c r="H51" s="12">
        <f>1500.0*(1+Reajustes!H52)</f>
        <v/>
      </c>
      <c r="I51" s="12">
        <f>1573.46*(1+Reajustes!H52)</f>
        <v/>
      </c>
      <c r="J51" s="12">
        <f>1691.15*(1+Reajustes!H52)</f>
        <v/>
      </c>
      <c r="K51" s="12">
        <f>1563.0*(1+Reajustes!H52)</f>
        <v/>
      </c>
      <c r="L51" s="12">
        <f>1493.03*(1+Reajustes!H52)</f>
        <v/>
      </c>
      <c r="M51" s="12">
        <f>1587.67*(1+Reajustes!H52)</f>
        <v/>
      </c>
      <c r="N51" s="12">
        <f>1814.92*(1+Reajustes!H52)</f>
        <v/>
      </c>
      <c r="O51" s="12">
        <f>SUM(C51:N51)</f>
        <v/>
      </c>
    </row>
    <row r="52">
      <c r="B52" s="8" t="inlineStr">
        <is>
          <t>Material Elétrico</t>
        </is>
      </c>
      <c r="C52" s="12">
        <f>0.0*(1+Reajustes!H53)</f>
        <v/>
      </c>
      <c r="D52" s="12">
        <f>316.0*(1+Reajustes!H53)</f>
        <v/>
      </c>
      <c r="E52" s="12">
        <f>1459.51*(1+Reajustes!H53)</f>
        <v/>
      </c>
      <c r="F52" s="12">
        <f>1145.0*(1+Reajustes!H53)</f>
        <v/>
      </c>
      <c r="G52" s="12">
        <f>1145.0*(1+Reajustes!H53)</f>
        <v/>
      </c>
      <c r="H52" s="12">
        <f>390.0*(1+Reajustes!H53)</f>
        <v/>
      </c>
      <c r="I52" s="12">
        <f>0.0*(1+Reajustes!H53)</f>
        <v/>
      </c>
      <c r="J52" s="12">
        <f>0.0*(1+Reajustes!H53)</f>
        <v/>
      </c>
      <c r="K52" s="12">
        <f>0.0*(1+Reajustes!H53)</f>
        <v/>
      </c>
      <c r="L52" s="12">
        <f>660.0*(1+Reajustes!H53)</f>
        <v/>
      </c>
      <c r="M52" s="12">
        <f>0.0*(1+Reajustes!H53)</f>
        <v/>
      </c>
      <c r="N52" s="12">
        <f>0.0*(1+Reajustes!H53)</f>
        <v/>
      </c>
      <c r="O52" s="12">
        <f>SUM(C52:N52)</f>
        <v/>
      </c>
    </row>
    <row r="53">
      <c r="B53" s="8" t="inlineStr">
        <is>
          <t>Material Hidráulico</t>
        </is>
      </c>
      <c r="C53" s="12">
        <f>0.0*(1+Reajustes!H54)</f>
        <v/>
      </c>
      <c r="D53" s="12">
        <f>0.0*(1+Reajustes!H54)</f>
        <v/>
      </c>
      <c r="E53" s="12">
        <f>0.0*(1+Reajustes!H54)</f>
        <v/>
      </c>
      <c r="F53" s="12">
        <f>0.0*(1+Reajustes!H54)</f>
        <v/>
      </c>
      <c r="G53" s="12">
        <f>96.89*(1+Reajustes!H54)</f>
        <v/>
      </c>
      <c r="H53" s="12">
        <f>0.0*(1+Reajustes!H54)</f>
        <v/>
      </c>
      <c r="I53" s="12">
        <f>0.0*(1+Reajustes!H54)</f>
        <v/>
      </c>
      <c r="J53" s="12">
        <f>0.0*(1+Reajustes!H54)</f>
        <v/>
      </c>
      <c r="K53" s="12">
        <f>0.0*(1+Reajustes!H54)</f>
        <v/>
      </c>
      <c r="L53" s="12">
        <f>0.0*(1+Reajustes!H54)</f>
        <v/>
      </c>
      <c r="M53" s="12">
        <f>0.0*(1+Reajustes!H54)</f>
        <v/>
      </c>
      <c r="N53" s="12">
        <f>0.0*(1+Reajustes!H54)</f>
        <v/>
      </c>
      <c r="O53" s="12">
        <f>SUM(C53:N53)</f>
        <v/>
      </c>
    </row>
    <row r="54">
      <c r="B54" s="8" t="inlineStr">
        <is>
          <t>Material de Segurança Eletrônica</t>
        </is>
      </c>
      <c r="C54" s="12">
        <f>1518.17*(1+Reajustes!H55)</f>
        <v/>
      </c>
      <c r="D54" s="12">
        <f>2508.6*(1+Reajustes!H55)</f>
        <v/>
      </c>
      <c r="E54" s="12">
        <f>1885.79*(1+Reajustes!H55)</f>
        <v/>
      </c>
      <c r="F54" s="12">
        <f>1405.88*(1+Reajustes!H55)</f>
        <v/>
      </c>
      <c r="G54" s="12">
        <f>450.0*(1+Reajustes!H55)</f>
        <v/>
      </c>
      <c r="H54" s="12">
        <f>0.0*(1+Reajustes!H55)</f>
        <v/>
      </c>
      <c r="I54" s="12">
        <f>0.0*(1+Reajustes!H55)</f>
        <v/>
      </c>
      <c r="J54" s="12">
        <f>0.0*(1+Reajustes!H55)</f>
        <v/>
      </c>
      <c r="K54" s="12">
        <f>1736.36*(1+Reajustes!H55)</f>
        <v/>
      </c>
      <c r="L54" s="12">
        <f>1936.17*(1+Reajustes!H55)</f>
        <v/>
      </c>
      <c r="M54" s="12">
        <f>3358.38*(1+Reajustes!H55)</f>
        <v/>
      </c>
      <c r="N54" s="12">
        <f>813.98*(1+Reajustes!H55)</f>
        <v/>
      </c>
      <c r="O54" s="12">
        <f>SUM(C54:N54)</f>
        <v/>
      </c>
    </row>
    <row r="55">
      <c r="B55" s="8" t="inlineStr">
        <is>
          <t>Material de Pintura</t>
        </is>
      </c>
      <c r="C55" s="12">
        <f>546.5*(1+Reajustes!H56)</f>
        <v/>
      </c>
      <c r="D55" s="12">
        <f>546.52*(1+Reajustes!H56)</f>
        <v/>
      </c>
      <c r="E55" s="12">
        <f>627.78*(1+Reajustes!H56)</f>
        <v/>
      </c>
      <c r="F55" s="12">
        <f>1480.7*(1+Reajustes!H56)</f>
        <v/>
      </c>
      <c r="G55" s="12">
        <f>1150.71*(1+Reajustes!H56)</f>
        <v/>
      </c>
      <c r="H55" s="12">
        <f>1151.22*(1+Reajustes!H56)</f>
        <v/>
      </c>
      <c r="I55" s="12">
        <f>34.35*(1+Reajustes!H56)</f>
        <v/>
      </c>
      <c r="J55" s="12">
        <f>771.22*(1+Reajustes!H56)</f>
        <v/>
      </c>
      <c r="K55" s="12">
        <f>0.0*(1+Reajustes!H56)</f>
        <v/>
      </c>
      <c r="L55" s="12">
        <f>0.0*(1+Reajustes!H56)</f>
        <v/>
      </c>
      <c r="M55" s="12">
        <f>0.0*(1+Reajustes!H56)</f>
        <v/>
      </c>
      <c r="N55" s="12">
        <f>0.0*(1+Reajustes!H56)</f>
        <v/>
      </c>
      <c r="O55" s="12">
        <f>SUM(C55:N55)</f>
        <v/>
      </c>
    </row>
    <row r="56">
      <c r="B56" s="8" t="inlineStr">
        <is>
          <t>Material de Construção-Ferramentas</t>
        </is>
      </c>
      <c r="C56" s="12">
        <f>154.9*(1+Reajustes!H57)</f>
        <v/>
      </c>
      <c r="D56" s="12">
        <f>324.0*(1+Reajustes!H57)</f>
        <v/>
      </c>
      <c r="E56" s="12">
        <f>767.35*(1+Reajustes!H57)</f>
        <v/>
      </c>
      <c r="F56" s="12">
        <f>642.13*(1+Reajustes!H57)</f>
        <v/>
      </c>
      <c r="G56" s="12">
        <f>282.98*(1+Reajustes!H57)</f>
        <v/>
      </c>
      <c r="H56" s="12">
        <f>725.1*(1+Reajustes!H57)</f>
        <v/>
      </c>
      <c r="I56" s="12">
        <f>804.17*(1+Reajustes!H57)</f>
        <v/>
      </c>
      <c r="J56" s="12">
        <f>1148.1*(1+Reajustes!H57)</f>
        <v/>
      </c>
      <c r="K56" s="12">
        <f>275.0*(1+Reajustes!H57)</f>
        <v/>
      </c>
      <c r="L56" s="12">
        <f>1430.5*(1+Reajustes!H57)</f>
        <v/>
      </c>
      <c r="M56" s="12">
        <f>669.0*(1+Reajustes!H57)</f>
        <v/>
      </c>
      <c r="N56" s="12">
        <f>899.5*(1+Reajustes!H57)</f>
        <v/>
      </c>
      <c r="O56" s="12">
        <f>SUM(C56:N56)</f>
        <v/>
      </c>
    </row>
    <row r="57">
      <c r="B57" s="8" t="inlineStr">
        <is>
          <t>Material de Uso e Consumo Condomínio</t>
        </is>
      </c>
      <c r="C57" s="12">
        <f>0.0*(1+Reajustes!H58)</f>
        <v/>
      </c>
      <c r="D57" s="12">
        <f>120.0*(1+Reajustes!H58)</f>
        <v/>
      </c>
      <c r="E57" s="12">
        <f>774.0*(1+Reajustes!H58)</f>
        <v/>
      </c>
      <c r="F57" s="12">
        <f>358.0*(1+Reajustes!H58)</f>
        <v/>
      </c>
      <c r="G57" s="12">
        <f>332.79*(1+Reajustes!H58)</f>
        <v/>
      </c>
      <c r="H57" s="12">
        <f>0.0*(1+Reajustes!H58)</f>
        <v/>
      </c>
      <c r="I57" s="12">
        <f>293.64*(1+Reajustes!H58)</f>
        <v/>
      </c>
      <c r="J57" s="12">
        <f>141.55*(1+Reajustes!H58)</f>
        <v/>
      </c>
      <c r="K57" s="12">
        <f>1724.66*(1+Reajustes!H58)</f>
        <v/>
      </c>
      <c r="L57" s="12">
        <f>1083.0*(1+Reajustes!H58)</f>
        <v/>
      </c>
      <c r="M57" s="12">
        <f>0.0*(1+Reajustes!H58)</f>
        <v/>
      </c>
      <c r="N57" s="12">
        <f>0.0*(1+Reajustes!H58)</f>
        <v/>
      </c>
      <c r="O57" s="12">
        <f>SUM(C57:N57)</f>
        <v/>
      </c>
    </row>
    <row r="58">
      <c r="B58" s="8" t="inlineStr">
        <is>
          <t>Material de Confraternização-Festa</t>
        </is>
      </c>
      <c r="C58" s="12">
        <f>500.0*(1+Reajustes!H59)</f>
        <v/>
      </c>
      <c r="D58" s="12">
        <f>0.0*(1+Reajustes!H59)</f>
        <v/>
      </c>
      <c r="E58" s="12">
        <f>0.0*(1+Reajustes!H59)</f>
        <v/>
      </c>
      <c r="F58" s="12">
        <f>0.0*(1+Reajustes!H59)</f>
        <v/>
      </c>
      <c r="G58" s="12">
        <f>0.0*(1+Reajustes!H59)</f>
        <v/>
      </c>
      <c r="H58" s="12">
        <f>0.0*(1+Reajustes!H59)</f>
        <v/>
      </c>
      <c r="I58" s="12">
        <f>2385.24*(1+Reajustes!H59)</f>
        <v/>
      </c>
      <c r="J58" s="12">
        <f>0.0*(1+Reajustes!H59)</f>
        <v/>
      </c>
      <c r="K58" s="12">
        <f>0.0*(1+Reajustes!H59)</f>
        <v/>
      </c>
      <c r="L58" s="12">
        <f>0.0*(1+Reajustes!H59)</f>
        <v/>
      </c>
      <c r="M58" s="12">
        <f>0.0*(1+Reajustes!H59)</f>
        <v/>
      </c>
      <c r="N58" s="12">
        <f>0.0*(1+Reajustes!H59)</f>
        <v/>
      </c>
      <c r="O58" s="12">
        <f>SUM(C58:N58)</f>
        <v/>
      </c>
    </row>
    <row r="59">
      <c r="B59" s="8" t="inlineStr">
        <is>
          <t>Material de Informática</t>
        </is>
      </c>
      <c r="C59" s="12">
        <f>0.0*(1+Reajustes!H60)</f>
        <v/>
      </c>
      <c r="D59" s="12">
        <f>326.67*(1+Reajustes!H60)</f>
        <v/>
      </c>
      <c r="E59" s="12">
        <f>326.67*(1+Reajustes!H60)</f>
        <v/>
      </c>
      <c r="F59" s="12">
        <f>326.66*(1+Reajustes!H60)</f>
        <v/>
      </c>
      <c r="G59" s="12">
        <f>0.0*(1+Reajustes!H60)</f>
        <v/>
      </c>
      <c r="H59" s="12">
        <f>84.89*(1+Reajustes!H60)</f>
        <v/>
      </c>
      <c r="I59" s="12">
        <f>0.0*(1+Reajustes!H60)</f>
        <v/>
      </c>
      <c r="J59" s="12">
        <f>0.0*(1+Reajustes!H60)</f>
        <v/>
      </c>
      <c r="K59" s="12">
        <f>0.0*(1+Reajustes!H60)</f>
        <v/>
      </c>
      <c r="L59" s="12">
        <f>0.0*(1+Reajustes!H60)</f>
        <v/>
      </c>
      <c r="M59" s="12">
        <f>0.0*(1+Reajustes!H60)</f>
        <v/>
      </c>
      <c r="N59" s="12">
        <f>0.0*(1+Reajustes!H60)</f>
        <v/>
      </c>
      <c r="O59" s="12">
        <f>SUM(C59:N59)</f>
        <v/>
      </c>
    </row>
    <row r="60">
      <c r="B60" s="8" t="inlineStr">
        <is>
          <t>Material de Academia</t>
        </is>
      </c>
      <c r="C60" s="12">
        <f>0.0*(1+Reajustes!H61)</f>
        <v/>
      </c>
      <c r="D60" s="12">
        <f>0.0*(1+Reajustes!H61)</f>
        <v/>
      </c>
      <c r="E60" s="12">
        <f>0.0*(1+Reajustes!H61)</f>
        <v/>
      </c>
      <c r="F60" s="12">
        <f>0.0*(1+Reajustes!H61)</f>
        <v/>
      </c>
      <c r="G60" s="12">
        <f>0.0*(1+Reajustes!H61)</f>
        <v/>
      </c>
      <c r="H60" s="12">
        <f>0.0*(1+Reajustes!H61)</f>
        <v/>
      </c>
      <c r="I60" s="12">
        <f>10257.7*(1+Reajustes!H61)</f>
        <v/>
      </c>
      <c r="J60" s="12">
        <f>196.27*(1+Reajustes!H61)</f>
        <v/>
      </c>
      <c r="K60" s="12">
        <f>0.0*(1+Reajustes!H61)</f>
        <v/>
      </c>
      <c r="L60" s="12">
        <f>0.0*(1+Reajustes!H61)</f>
        <v/>
      </c>
      <c r="M60" s="12">
        <f>0.0*(1+Reajustes!H61)</f>
        <v/>
      </c>
      <c r="N60" s="12">
        <f>0.0*(1+Reajustes!H61)</f>
        <v/>
      </c>
      <c r="O60" s="12">
        <f>SUM(C60:N60)</f>
        <v/>
      </c>
    </row>
    <row r="61">
      <c r="B61" s="8" t="inlineStr">
        <is>
          <t>Material de Piscina</t>
        </is>
      </c>
      <c r="C61" s="12">
        <f>0.0*(1+Reajustes!H62)</f>
        <v/>
      </c>
      <c r="D61" s="12">
        <f>192.5*(1+Reajustes!H62)</f>
        <v/>
      </c>
      <c r="E61" s="12">
        <f>198.27*(1+Reajustes!H62)</f>
        <v/>
      </c>
      <c r="F61" s="12">
        <f>0.0*(1+Reajustes!H62)</f>
        <v/>
      </c>
      <c r="G61" s="12">
        <f>0.0*(1+Reajustes!H62)</f>
        <v/>
      </c>
      <c r="H61" s="12">
        <f>0.0*(1+Reajustes!H62)</f>
        <v/>
      </c>
      <c r="I61" s="12">
        <f>0.0*(1+Reajustes!H62)</f>
        <v/>
      </c>
      <c r="J61" s="12">
        <f>0.0*(1+Reajustes!H62)</f>
        <v/>
      </c>
      <c r="K61" s="12">
        <f>0.0*(1+Reajustes!H62)</f>
        <v/>
      </c>
      <c r="L61" s="12">
        <f>0.0*(1+Reajustes!H62)</f>
        <v/>
      </c>
      <c r="M61" s="12">
        <f>0.0*(1+Reajustes!H62)</f>
        <v/>
      </c>
      <c r="N61" s="12">
        <f>0.0*(1+Reajustes!H62)</f>
        <v/>
      </c>
      <c r="O61" s="12">
        <f>SUM(C61:N61)</f>
        <v/>
      </c>
    </row>
    <row r="62">
      <c r="B62" s="8" t="inlineStr">
        <is>
          <t>Material Área de Lazer</t>
        </is>
      </c>
      <c r="C62" s="12">
        <f>0.0*(1+Reajustes!H63)</f>
        <v/>
      </c>
      <c r="D62" s="12">
        <f>0.0*(1+Reajustes!H63)</f>
        <v/>
      </c>
      <c r="E62" s="12">
        <f>0.0*(1+Reajustes!H63)</f>
        <v/>
      </c>
      <c r="F62" s="12">
        <f>3339.99*(1+Reajustes!H63)</f>
        <v/>
      </c>
      <c r="G62" s="12">
        <f>73.97*(1+Reajustes!H63)</f>
        <v/>
      </c>
      <c r="H62" s="12">
        <f>215.0*(1+Reajustes!H63)</f>
        <v/>
      </c>
      <c r="I62" s="12">
        <f>3785.04*(1+Reajustes!H63)</f>
        <v/>
      </c>
      <c r="J62" s="12">
        <f>0.0*(1+Reajustes!H63)</f>
        <v/>
      </c>
      <c r="K62" s="12">
        <f>0.0*(1+Reajustes!H63)</f>
        <v/>
      </c>
      <c r="L62" s="12">
        <f>0.0*(1+Reajustes!H63)</f>
        <v/>
      </c>
      <c r="M62" s="12">
        <f>0.0*(1+Reajustes!H63)</f>
        <v/>
      </c>
      <c r="N62" s="12">
        <f>0.0*(1+Reajustes!H63)</f>
        <v/>
      </c>
      <c r="O62" s="12">
        <f>SUM(C62:N62)</f>
        <v/>
      </c>
    </row>
    <row r="63">
      <c r="B63" s="8" t="inlineStr">
        <is>
          <t>Tags - Controle de Acesso</t>
        </is>
      </c>
      <c r="C63" s="12">
        <f>300.0*(1+Reajustes!H64)</f>
        <v/>
      </c>
      <c r="D63" s="12">
        <f>450.0*(1+Reajustes!H64)</f>
        <v/>
      </c>
      <c r="E63" s="12">
        <f>300.0*(1+Reajustes!H64)</f>
        <v/>
      </c>
      <c r="F63" s="12">
        <f>0.0*(1+Reajustes!H64)</f>
        <v/>
      </c>
      <c r="G63" s="12">
        <f>0.0*(1+Reajustes!H64)</f>
        <v/>
      </c>
      <c r="H63" s="12">
        <f>0.0*(1+Reajustes!H64)</f>
        <v/>
      </c>
      <c r="I63" s="12">
        <f>900.0*(1+Reajustes!H64)</f>
        <v/>
      </c>
      <c r="J63" s="12">
        <f>675.0*(1+Reajustes!H64)</f>
        <v/>
      </c>
      <c r="K63" s="12">
        <f>675.0*(1+Reajustes!H64)</f>
        <v/>
      </c>
      <c r="L63" s="12">
        <f>0.0*(1+Reajustes!H64)</f>
        <v/>
      </c>
      <c r="M63" s="12">
        <f>0.0*(1+Reajustes!H64)</f>
        <v/>
      </c>
      <c r="N63" s="12">
        <f>150.0*(1+Reajustes!H64)</f>
        <v/>
      </c>
      <c r="O63" s="12">
        <f>SUM(C63:N63)</f>
        <v/>
      </c>
    </row>
    <row r="64">
      <c r="B64" s="8" t="inlineStr">
        <is>
          <t>Material para Portão</t>
        </is>
      </c>
      <c r="C64" s="12">
        <f>0.0*(1+Reajustes!H65)</f>
        <v/>
      </c>
      <c r="D64" s="12">
        <f>0.0*(1+Reajustes!H65)</f>
        <v/>
      </c>
      <c r="E64" s="12">
        <f>0.0*(1+Reajustes!H65)</f>
        <v/>
      </c>
      <c r="F64" s="12">
        <f>0.0*(1+Reajustes!H65)</f>
        <v/>
      </c>
      <c r="G64" s="12">
        <f>0.0*(1+Reajustes!H65)</f>
        <v/>
      </c>
      <c r="H64" s="12">
        <f>0.0*(1+Reajustes!H65)</f>
        <v/>
      </c>
      <c r="I64" s="12">
        <f>0.0*(1+Reajustes!H65)</f>
        <v/>
      </c>
      <c r="J64" s="12">
        <f>0.0*(1+Reajustes!H65)</f>
        <v/>
      </c>
      <c r="K64" s="12">
        <f>0.0*(1+Reajustes!H65)</f>
        <v/>
      </c>
      <c r="L64" s="12">
        <f>0.0*(1+Reajustes!H65)</f>
        <v/>
      </c>
      <c r="M64" s="12">
        <f>2658.73*(1+Reajustes!H65)</f>
        <v/>
      </c>
      <c r="N64" s="12">
        <f>1345.9*(1+Reajustes!H65)</f>
        <v/>
      </c>
      <c r="O64" s="12">
        <f>SUM(C64:N64)</f>
        <v/>
      </c>
    </row>
    <row r="65">
      <c r="B65" s="8" t="inlineStr">
        <is>
          <t>Material de Decoração</t>
        </is>
      </c>
      <c r="C65" s="12">
        <f>0.0*(1+Reajustes!H66)</f>
        <v/>
      </c>
      <c r="D65" s="12">
        <f>0.0*(1+Reajustes!H66)</f>
        <v/>
      </c>
      <c r="E65" s="12">
        <f>0.0*(1+Reajustes!H66)</f>
        <v/>
      </c>
      <c r="F65" s="12">
        <f>0.0*(1+Reajustes!H66)</f>
        <v/>
      </c>
      <c r="G65" s="12">
        <f>2140.0*(1+Reajustes!H66)</f>
        <v/>
      </c>
      <c r="H65" s="12">
        <f>0.0*(1+Reajustes!H66)</f>
        <v/>
      </c>
      <c r="I65" s="12">
        <f>0.0*(1+Reajustes!H66)</f>
        <v/>
      </c>
      <c r="J65" s="12">
        <f>0.0*(1+Reajustes!H66)</f>
        <v/>
      </c>
      <c r="K65" s="12">
        <f>0.0*(1+Reajustes!H66)</f>
        <v/>
      </c>
      <c r="L65" s="12">
        <f>0.0*(1+Reajustes!H66)</f>
        <v/>
      </c>
      <c r="M65" s="12">
        <f>0.0*(1+Reajustes!H66)</f>
        <v/>
      </c>
      <c r="N65" s="12">
        <f>0.0*(1+Reajustes!H66)</f>
        <v/>
      </c>
      <c r="O65" s="12">
        <f>SUM(C65:N65)</f>
        <v/>
      </c>
    </row>
    <row r="66">
      <c r="B66" s="8" t="inlineStr">
        <is>
          <t>Material Salão de Festas</t>
        </is>
      </c>
      <c r="C66" s="12">
        <f>625.0*(1+Reajustes!H67)</f>
        <v/>
      </c>
      <c r="D66" s="12">
        <f>0.0*(1+Reajustes!H67)</f>
        <v/>
      </c>
      <c r="E66" s="12">
        <f>0.0*(1+Reajustes!H67)</f>
        <v/>
      </c>
      <c r="F66" s="12">
        <f>0.0*(1+Reajustes!H67)</f>
        <v/>
      </c>
      <c r="G66" s="12">
        <f>0.0*(1+Reajustes!H67)</f>
        <v/>
      </c>
      <c r="H66" s="12">
        <f>0.0*(1+Reajustes!H67)</f>
        <v/>
      </c>
      <c r="I66" s="12">
        <f>0.0*(1+Reajustes!H67)</f>
        <v/>
      </c>
      <c r="J66" s="12">
        <f>0.0*(1+Reajustes!H67)</f>
        <v/>
      </c>
      <c r="K66" s="12">
        <f>0.0*(1+Reajustes!H67)</f>
        <v/>
      </c>
      <c r="L66" s="12">
        <f>0.0*(1+Reajustes!H67)</f>
        <v/>
      </c>
      <c r="M66" s="12">
        <f>0.0*(1+Reajustes!H67)</f>
        <v/>
      </c>
      <c r="N66" s="12">
        <f>0.0*(1+Reajustes!H67)</f>
        <v/>
      </c>
      <c r="O66" s="12">
        <f>SUM(C66:N66)</f>
        <v/>
      </c>
    </row>
    <row r="67">
      <c r="B67" s="8" t="inlineStr">
        <is>
          <t>Material de Interfone</t>
        </is>
      </c>
      <c r="C67" s="12">
        <f>0.0*(1+Reajustes!H68)</f>
        <v/>
      </c>
      <c r="D67" s="12">
        <f>0.0*(1+Reajustes!H68)</f>
        <v/>
      </c>
      <c r="E67" s="12">
        <f>0.0*(1+Reajustes!H68)</f>
        <v/>
      </c>
      <c r="F67" s="12">
        <f>0.0*(1+Reajustes!H68)</f>
        <v/>
      </c>
      <c r="G67" s="12">
        <f>0.0*(1+Reajustes!H68)</f>
        <v/>
      </c>
      <c r="H67" s="12">
        <f>0.0*(1+Reajustes!H68)</f>
        <v/>
      </c>
      <c r="I67" s="12">
        <f>0.0*(1+Reajustes!H68)</f>
        <v/>
      </c>
      <c r="J67" s="12">
        <f>110.0*(1+Reajustes!H68)</f>
        <v/>
      </c>
      <c r="K67" s="12">
        <f>0.0*(1+Reajustes!H68)</f>
        <v/>
      </c>
      <c r="L67" s="12">
        <f>388.16*(1+Reajustes!H68)</f>
        <v/>
      </c>
      <c r="M67" s="12">
        <f>388.16*(1+Reajustes!H68)</f>
        <v/>
      </c>
      <c r="N67" s="12">
        <f>0.0*(1+Reajustes!H68)</f>
        <v/>
      </c>
      <c r="O67" s="12">
        <f>SUM(C67:N67)</f>
        <v/>
      </c>
    </row>
    <row r="68">
      <c r="B68" s="8" t="inlineStr">
        <is>
          <t>Ferramentas-materiais para manutenção</t>
        </is>
      </c>
      <c r="C68" s="12">
        <f>0.0*(1+Reajustes!H69)</f>
        <v/>
      </c>
      <c r="D68" s="12">
        <f>0.0*(1+Reajustes!H69)</f>
        <v/>
      </c>
      <c r="E68" s="12">
        <f>0.0*(1+Reajustes!H69)</f>
        <v/>
      </c>
      <c r="F68" s="12">
        <f>1048.69*(1+Reajustes!H69)</f>
        <v/>
      </c>
      <c r="G68" s="12">
        <f>0.0*(1+Reajustes!H69)</f>
        <v/>
      </c>
      <c r="H68" s="12">
        <f>0.0*(1+Reajustes!H69)</f>
        <v/>
      </c>
      <c r="I68" s="12">
        <f>0.0*(1+Reajustes!H69)</f>
        <v/>
      </c>
      <c r="J68" s="12">
        <f>771.56*(1+Reajustes!H69)</f>
        <v/>
      </c>
      <c r="K68" s="12">
        <f>391.29*(1+Reajustes!H69)</f>
        <v/>
      </c>
      <c r="L68" s="12">
        <f>0.0*(1+Reajustes!H69)</f>
        <v/>
      </c>
      <c r="M68" s="12">
        <f>420.0*(1+Reajustes!H69)</f>
        <v/>
      </c>
      <c r="N68" s="12">
        <f>0.0*(1+Reajustes!H69)</f>
        <v/>
      </c>
      <c r="O68" s="12">
        <f>SUM(C68:N68)</f>
        <v/>
      </c>
    </row>
    <row r="69">
      <c r="B69" s="8" t="inlineStr">
        <is>
          <t>Material de Sinalização</t>
        </is>
      </c>
      <c r="C69" s="12">
        <f>0.0*(1+Reajustes!H70)</f>
        <v/>
      </c>
      <c r="D69" s="12">
        <f>0.0*(1+Reajustes!H70)</f>
        <v/>
      </c>
      <c r="E69" s="12">
        <f>0.0*(1+Reajustes!H70)</f>
        <v/>
      </c>
      <c r="F69" s="12">
        <f>0.0*(1+Reajustes!H70)</f>
        <v/>
      </c>
      <c r="G69" s="12">
        <f>0.0*(1+Reajustes!H70)</f>
        <v/>
      </c>
      <c r="H69" s="12">
        <f>692.91*(1+Reajustes!H70)</f>
        <v/>
      </c>
      <c r="I69" s="12">
        <f>794.28*(1+Reajustes!H70)</f>
        <v/>
      </c>
      <c r="J69" s="12">
        <f>579.26*(1+Reajustes!H70)</f>
        <v/>
      </c>
      <c r="K69" s="12">
        <f>579.26*(1+Reajustes!H70)</f>
        <v/>
      </c>
      <c r="L69" s="12">
        <f>0.0*(1+Reajustes!H70)</f>
        <v/>
      </c>
      <c r="M69" s="12">
        <f>449.0*(1+Reajustes!H70)</f>
        <v/>
      </c>
      <c r="N69" s="12">
        <f>458.0*(1+Reajustes!H70)</f>
        <v/>
      </c>
      <c r="O69" s="12">
        <f>SUM(C69:N69)</f>
        <v/>
      </c>
    </row>
    <row r="70">
      <c r="B70" s="8" t="inlineStr">
        <is>
          <t>Material de Extintor</t>
        </is>
      </c>
      <c r="C70" s="12">
        <f>0.0*(1+Reajustes!H71)</f>
        <v/>
      </c>
      <c r="D70" s="12">
        <f>0.0*(1+Reajustes!H71)</f>
        <v/>
      </c>
      <c r="E70" s="12">
        <f>0.0*(1+Reajustes!H71)</f>
        <v/>
      </c>
      <c r="F70" s="12">
        <f>0.0*(1+Reajustes!H71)</f>
        <v/>
      </c>
      <c r="G70" s="12">
        <f>0.0*(1+Reajustes!H71)</f>
        <v/>
      </c>
      <c r="H70" s="12">
        <f>0.0*(1+Reajustes!H71)</f>
        <v/>
      </c>
      <c r="I70" s="12">
        <f>0.0*(1+Reajustes!H71)</f>
        <v/>
      </c>
      <c r="J70" s="12">
        <f>0.0*(1+Reajustes!H71)</f>
        <v/>
      </c>
      <c r="K70" s="12">
        <f>0.0*(1+Reajustes!H71)</f>
        <v/>
      </c>
      <c r="L70" s="12">
        <f>0.0*(1+Reajustes!H71)</f>
        <v/>
      </c>
      <c r="M70" s="12">
        <f>1609.5*(1+Reajustes!H71)</f>
        <v/>
      </c>
      <c r="N70" s="12">
        <f>1609.5*(1+Reajustes!H71)</f>
        <v/>
      </c>
      <c r="O70" s="12">
        <f>SUM(C70:N70)</f>
        <v/>
      </c>
    </row>
    <row r="71">
      <c r="B71" s="18" t="inlineStr">
        <is>
          <t xml:space="preserve">  Total Aquisição de Materiais</t>
        </is>
      </c>
      <c r="C71" s="19">
        <f>SUM(C51:C70)</f>
        <v/>
      </c>
      <c r="D71" s="19">
        <f>SUM(D51:D70)</f>
        <v/>
      </c>
      <c r="E71" s="19">
        <f>SUM(E51:E70)</f>
        <v/>
      </c>
      <c r="F71" s="19">
        <f>SUM(F51:F70)</f>
        <v/>
      </c>
      <c r="G71" s="19">
        <f>SUM(G51:G70)</f>
        <v/>
      </c>
      <c r="H71" s="19">
        <f>SUM(H51:H70)</f>
        <v/>
      </c>
      <c r="I71" s="19">
        <f>SUM(I51:I70)</f>
        <v/>
      </c>
      <c r="J71" s="19">
        <f>SUM(J51:J70)</f>
        <v/>
      </c>
      <c r="K71" s="19">
        <f>SUM(K51:K70)</f>
        <v/>
      </c>
      <c r="L71" s="19">
        <f>SUM(L51:L70)</f>
        <v/>
      </c>
      <c r="M71" s="19">
        <f>SUM(M51:M70)</f>
        <v/>
      </c>
      <c r="N71" s="19">
        <f>SUM(N51:N70)</f>
        <v/>
      </c>
      <c r="O71" s="19">
        <f>SUM(O51:O70)</f>
        <v/>
      </c>
    </row>
    <row r="73">
      <c r="B73" s="16" t="inlineStr">
        <is>
          <t>Serviços</t>
        </is>
      </c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B74" s="8" t="inlineStr">
        <is>
          <t>Seguro Condominial</t>
        </is>
      </c>
      <c r="C74" s="12">
        <f>1273.65*(1+Reajustes!H72)</f>
        <v/>
      </c>
      <c r="D74" s="12">
        <f>1273.72*(1+Reajustes!H72)</f>
        <v/>
      </c>
      <c r="E74" s="12">
        <f>0.0*(1+Reajustes!H72)</f>
        <v/>
      </c>
      <c r="F74" s="12">
        <f>0.0*(1+Reajustes!H72)</f>
        <v/>
      </c>
      <c r="G74" s="12">
        <f>0.0*(1+Reajustes!H72)</f>
        <v/>
      </c>
      <c r="H74" s="12">
        <f>0.0*(1+Reajustes!H72)</f>
        <v/>
      </c>
      <c r="I74" s="12">
        <f>0.0*(1+Reajustes!H72)</f>
        <v/>
      </c>
      <c r="J74" s="12">
        <f>0.0*(1+Reajustes!H72)</f>
        <v/>
      </c>
      <c r="K74" s="12">
        <f>0.0*(1+Reajustes!H72)</f>
        <v/>
      </c>
      <c r="L74" s="12">
        <f>1380.14*(1+Reajustes!H72)</f>
        <v/>
      </c>
      <c r="M74" s="12">
        <f>1337.34*(1+Reajustes!H72)</f>
        <v/>
      </c>
      <c r="N74" s="12">
        <f>1337.34*(1+Reajustes!H72)</f>
        <v/>
      </c>
      <c r="O74" s="12">
        <f>SUM(C74:N74)</f>
        <v/>
      </c>
    </row>
    <row r="75">
      <c r="B75" s="8" t="inlineStr">
        <is>
          <t>Serviço de Pintura</t>
        </is>
      </c>
      <c r="C75" s="12">
        <f>0.0*(1+Reajustes!H73)</f>
        <v/>
      </c>
      <c r="D75" s="12">
        <f>0.0*(1+Reajustes!H73)</f>
        <v/>
      </c>
      <c r="E75" s="12">
        <f>0.0*(1+Reajustes!H73)</f>
        <v/>
      </c>
      <c r="F75" s="12">
        <f>0.0*(1+Reajustes!H73)</f>
        <v/>
      </c>
      <c r="G75" s="12">
        <f>0.0*(1+Reajustes!H73)</f>
        <v/>
      </c>
      <c r="H75" s="12">
        <f>0.0*(1+Reajustes!H73)</f>
        <v/>
      </c>
      <c r="I75" s="12">
        <f>0.0*(1+Reajustes!H73)</f>
        <v/>
      </c>
      <c r="J75" s="12">
        <f>500.0*(1+Reajustes!H73)</f>
        <v/>
      </c>
      <c r="K75" s="12">
        <f>0.0*(1+Reajustes!H73)</f>
        <v/>
      </c>
      <c r="L75" s="12">
        <f>0.0*(1+Reajustes!H73)</f>
        <v/>
      </c>
      <c r="M75" s="12">
        <f>0.0*(1+Reajustes!H73)</f>
        <v/>
      </c>
      <c r="N75" s="12">
        <f>0.0*(1+Reajustes!H73)</f>
        <v/>
      </c>
      <c r="O75" s="12">
        <f>SUM(C75:N75)</f>
        <v/>
      </c>
    </row>
    <row r="76">
      <c r="B76" s="8" t="inlineStr">
        <is>
          <t>Serviço Elétrico</t>
        </is>
      </c>
      <c r="C76" s="12">
        <f>0.0*(1+Reajustes!H74)</f>
        <v/>
      </c>
      <c r="D76" s="12">
        <f>0.0*(1+Reajustes!H74)</f>
        <v/>
      </c>
      <c r="E76" s="12">
        <f>0.0*(1+Reajustes!H74)</f>
        <v/>
      </c>
      <c r="F76" s="12">
        <f>0.0*(1+Reajustes!H74)</f>
        <v/>
      </c>
      <c r="G76" s="12">
        <f>0.0*(1+Reajustes!H74)</f>
        <v/>
      </c>
      <c r="H76" s="12">
        <f>0.0*(1+Reajustes!H74)</f>
        <v/>
      </c>
      <c r="I76" s="12">
        <f>0.0*(1+Reajustes!H74)</f>
        <v/>
      </c>
      <c r="J76" s="12">
        <f>0.0*(1+Reajustes!H74)</f>
        <v/>
      </c>
      <c r="K76" s="12">
        <f>1700.5*(1+Reajustes!H74)</f>
        <v/>
      </c>
      <c r="L76" s="12">
        <f>0.0*(1+Reajustes!H74)</f>
        <v/>
      </c>
      <c r="M76" s="12">
        <f>612.75*(1+Reajustes!H74)</f>
        <v/>
      </c>
      <c r="N76" s="12">
        <f>0.0*(1+Reajustes!H74)</f>
        <v/>
      </c>
      <c r="O76" s="12">
        <f>SUM(C76:N76)</f>
        <v/>
      </c>
    </row>
    <row r="77">
      <c r="B77" s="8" t="inlineStr">
        <is>
          <t>Serviço de Engenharia</t>
        </is>
      </c>
      <c r="C77" s="12">
        <f>0.0*(1+Reajustes!H75)</f>
        <v/>
      </c>
      <c r="D77" s="12">
        <f>0.0*(1+Reajustes!H75)</f>
        <v/>
      </c>
      <c r="E77" s="12">
        <f>0.0*(1+Reajustes!H75)</f>
        <v/>
      </c>
      <c r="F77" s="12">
        <f>533.1*(1+Reajustes!H75)</f>
        <v/>
      </c>
      <c r="G77" s="12">
        <f>0.0*(1+Reajustes!H75)</f>
        <v/>
      </c>
      <c r="H77" s="12">
        <f>0.0*(1+Reajustes!H75)</f>
        <v/>
      </c>
      <c r="I77" s="12">
        <f>0.0*(1+Reajustes!H75)</f>
        <v/>
      </c>
      <c r="J77" s="12">
        <f>9840.0*(1+Reajustes!H75)</f>
        <v/>
      </c>
      <c r="K77" s="12">
        <f>0.0*(1+Reajustes!H75)</f>
        <v/>
      </c>
      <c r="L77" s="12">
        <f>0.0*(1+Reajustes!H75)</f>
        <v/>
      </c>
      <c r="M77" s="12">
        <f>0.0*(1+Reajustes!H75)</f>
        <v/>
      </c>
      <c r="N77" s="12">
        <f>0.0*(1+Reajustes!H75)</f>
        <v/>
      </c>
      <c r="O77" s="12">
        <f>SUM(C77:N77)</f>
        <v/>
      </c>
    </row>
    <row r="78">
      <c r="B78" s="8" t="inlineStr">
        <is>
          <t>Serviço de Desinsetização</t>
        </is>
      </c>
      <c r="C78" s="12">
        <f>0.0*(1+Reajustes!H76)</f>
        <v/>
      </c>
      <c r="D78" s="12">
        <f>0.0*(1+Reajustes!H76)</f>
        <v/>
      </c>
      <c r="E78" s="12">
        <f>0.0*(1+Reajustes!H76)</f>
        <v/>
      </c>
      <c r="F78" s="12">
        <f>0.0*(1+Reajustes!H76)</f>
        <v/>
      </c>
      <c r="G78" s="12">
        <f>0.0*(1+Reajustes!H76)</f>
        <v/>
      </c>
      <c r="H78" s="12">
        <f>0.0*(1+Reajustes!H76)</f>
        <v/>
      </c>
      <c r="I78" s="12">
        <f>0.0*(1+Reajustes!H76)</f>
        <v/>
      </c>
      <c r="J78" s="12">
        <f>285.0*(1+Reajustes!H76)</f>
        <v/>
      </c>
      <c r="K78" s="12">
        <f>0.0*(1+Reajustes!H76)</f>
        <v/>
      </c>
      <c r="L78" s="12">
        <f>0.0*(1+Reajustes!H76)</f>
        <v/>
      </c>
      <c r="M78" s="12">
        <f>0.0*(1+Reajustes!H76)</f>
        <v/>
      </c>
      <c r="N78" s="12">
        <f>0.0*(1+Reajustes!H76)</f>
        <v/>
      </c>
      <c r="O78" s="12">
        <f>SUM(C78:N78)</f>
        <v/>
      </c>
    </row>
    <row r="79">
      <c r="B79" s="8" t="inlineStr">
        <is>
          <t>Serviço Gráficos</t>
        </is>
      </c>
      <c r="C79" s="12">
        <f>0.0*(1+Reajustes!H77)</f>
        <v/>
      </c>
      <c r="D79" s="12">
        <f>0.0*(1+Reajustes!H77)</f>
        <v/>
      </c>
      <c r="E79" s="12">
        <f>0.0*(1+Reajustes!H77)</f>
        <v/>
      </c>
      <c r="F79" s="12">
        <f>115.0*(1+Reajustes!H77)</f>
        <v/>
      </c>
      <c r="G79" s="12">
        <f>0.0*(1+Reajustes!H77)</f>
        <v/>
      </c>
      <c r="H79" s="12">
        <f>0.0*(1+Reajustes!H77)</f>
        <v/>
      </c>
      <c r="I79" s="12">
        <f>0.0*(1+Reajustes!H77)</f>
        <v/>
      </c>
      <c r="J79" s="12">
        <f>0.0*(1+Reajustes!H77)</f>
        <v/>
      </c>
      <c r="K79" s="12">
        <f>0.0*(1+Reajustes!H77)</f>
        <v/>
      </c>
      <c r="L79" s="12">
        <f>0.0*(1+Reajustes!H77)</f>
        <v/>
      </c>
      <c r="M79" s="12">
        <f>132.0*(1+Reajustes!H77)</f>
        <v/>
      </c>
      <c r="N79" s="12">
        <f>0.0*(1+Reajustes!H77)</f>
        <v/>
      </c>
      <c r="O79" s="12">
        <f>SUM(C79:N79)</f>
        <v/>
      </c>
    </row>
    <row r="80">
      <c r="B80" s="8" t="inlineStr">
        <is>
          <t>Serviço de Locação</t>
        </is>
      </c>
      <c r="C80" s="12">
        <f>250.0*(1+Reajustes!H78)</f>
        <v/>
      </c>
      <c r="D80" s="12">
        <f>0.0*(1+Reajustes!H78)</f>
        <v/>
      </c>
      <c r="E80" s="12">
        <f>350.0*(1+Reajustes!H78)</f>
        <v/>
      </c>
      <c r="F80" s="12">
        <f>670.0*(1+Reajustes!H78)</f>
        <v/>
      </c>
      <c r="G80" s="12">
        <f>0.0*(1+Reajustes!H78)</f>
        <v/>
      </c>
      <c r="H80" s="12">
        <f>0.0*(1+Reajustes!H78)</f>
        <v/>
      </c>
      <c r="I80" s="12">
        <f>400.44*(1+Reajustes!H78)</f>
        <v/>
      </c>
      <c r="J80" s="12">
        <f>0.0*(1+Reajustes!H78)</f>
        <v/>
      </c>
      <c r="K80" s="12">
        <f>0.0*(1+Reajustes!H78)</f>
        <v/>
      </c>
      <c r="L80" s="12">
        <f>0.0*(1+Reajustes!H78)</f>
        <v/>
      </c>
      <c r="M80" s="12">
        <f>0.0*(1+Reajustes!H78)</f>
        <v/>
      </c>
      <c r="N80" s="12">
        <f>0.0*(1+Reajustes!H78)</f>
        <v/>
      </c>
      <c r="O80" s="12">
        <f>SUM(C80:N80)</f>
        <v/>
      </c>
    </row>
    <row r="81">
      <c r="B81" s="8" t="inlineStr">
        <is>
          <t>Serviço de Chaveiro</t>
        </is>
      </c>
      <c r="C81" s="12">
        <f>0.0*(1+Reajustes!H79)</f>
        <v/>
      </c>
      <c r="D81" s="12">
        <f>0.0*(1+Reajustes!H79)</f>
        <v/>
      </c>
      <c r="E81" s="12">
        <f>130.0*(1+Reajustes!H79)</f>
        <v/>
      </c>
      <c r="F81" s="12">
        <f>0.0*(1+Reajustes!H79)</f>
        <v/>
      </c>
      <c r="G81" s="12">
        <f>0.0*(1+Reajustes!H79)</f>
        <v/>
      </c>
      <c r="H81" s="12">
        <f>0.0*(1+Reajustes!H79)</f>
        <v/>
      </c>
      <c r="I81" s="12">
        <f>0.0*(1+Reajustes!H79)</f>
        <v/>
      </c>
      <c r="J81" s="12">
        <f>0.0*(1+Reajustes!H79)</f>
        <v/>
      </c>
      <c r="K81" s="12">
        <f>0.0*(1+Reajustes!H79)</f>
        <v/>
      </c>
      <c r="L81" s="12">
        <f>0.0*(1+Reajustes!H79)</f>
        <v/>
      </c>
      <c r="M81" s="12">
        <f>0.0*(1+Reajustes!H79)</f>
        <v/>
      </c>
      <c r="N81" s="12">
        <f>0.0*(1+Reajustes!H79)</f>
        <v/>
      </c>
      <c r="O81" s="12">
        <f>SUM(C81:N81)</f>
        <v/>
      </c>
    </row>
    <row r="82">
      <c r="B82" s="8" t="inlineStr">
        <is>
          <t>Serviço de Serralheria</t>
        </is>
      </c>
      <c r="C82" s="12">
        <f>0.0*(1+Reajustes!H80)</f>
        <v/>
      </c>
      <c r="D82" s="12">
        <f>0.0*(1+Reajustes!H80)</f>
        <v/>
      </c>
      <c r="E82" s="12">
        <f>600.0*(1+Reajustes!H80)</f>
        <v/>
      </c>
      <c r="F82" s="12">
        <f>0.0*(1+Reajustes!H80)</f>
        <v/>
      </c>
      <c r="G82" s="12">
        <f>7617.0*(1+Reajustes!H80)</f>
        <v/>
      </c>
      <c r="H82" s="12">
        <f>850.0*(1+Reajustes!H80)</f>
        <v/>
      </c>
      <c r="I82" s="12">
        <f>850.0*(1+Reajustes!H80)</f>
        <v/>
      </c>
      <c r="J82" s="12">
        <f>200.0*(1+Reajustes!H80)</f>
        <v/>
      </c>
      <c r="K82" s="12">
        <f>2000.0*(1+Reajustes!H80)</f>
        <v/>
      </c>
      <c r="L82" s="12">
        <f>0.0*(1+Reajustes!H80)</f>
        <v/>
      </c>
      <c r="M82" s="12">
        <f>0.0*(1+Reajustes!H80)</f>
        <v/>
      </c>
      <c r="N82" s="12">
        <f>1800.0*(1+Reajustes!H80)</f>
        <v/>
      </c>
      <c r="O82" s="12">
        <f>SUM(C82:N82)</f>
        <v/>
      </c>
    </row>
    <row r="83">
      <c r="B83" s="8" t="inlineStr">
        <is>
          <t>Serviço Hidráulico</t>
        </is>
      </c>
      <c r="C83" s="12">
        <f>2700.0*(1+Reajustes!H81)</f>
        <v/>
      </c>
      <c r="D83" s="12">
        <f>150.0*(1+Reajustes!H81)</f>
        <v/>
      </c>
      <c r="E83" s="12">
        <f>250.0*(1+Reajustes!H81)</f>
        <v/>
      </c>
      <c r="F83" s="12">
        <f>0.0*(1+Reajustes!H81)</f>
        <v/>
      </c>
      <c r="G83" s="12">
        <f>0.0*(1+Reajustes!H81)</f>
        <v/>
      </c>
      <c r="H83" s="12">
        <f>0.0*(1+Reajustes!H81)</f>
        <v/>
      </c>
      <c r="I83" s="12">
        <f>0.0*(1+Reajustes!H81)</f>
        <v/>
      </c>
      <c r="J83" s="12">
        <f>4000.0*(1+Reajustes!H81)</f>
        <v/>
      </c>
      <c r="K83" s="12">
        <f>0.0*(1+Reajustes!H81)</f>
        <v/>
      </c>
      <c r="L83" s="12">
        <f>0.0*(1+Reajustes!H81)</f>
        <v/>
      </c>
      <c r="M83" s="12">
        <f>0.0*(1+Reajustes!H81)</f>
        <v/>
      </c>
      <c r="N83" s="12">
        <f>0.0*(1+Reajustes!H81)</f>
        <v/>
      </c>
      <c r="O83" s="12">
        <f>SUM(C83:N83)</f>
        <v/>
      </c>
    </row>
    <row r="84">
      <c r="B84" s="8" t="inlineStr">
        <is>
          <t>Serviço de Informática- Internet</t>
        </is>
      </c>
      <c r="C84" s="12">
        <f>0.0*(1+Reajustes!H82)</f>
        <v/>
      </c>
      <c r="D84" s="12">
        <f>0.0*(1+Reajustes!H82)</f>
        <v/>
      </c>
      <c r="E84" s="12">
        <f>0.0*(1+Reajustes!H82)</f>
        <v/>
      </c>
      <c r="F84" s="12">
        <f>90.0*(1+Reajustes!H82)</f>
        <v/>
      </c>
      <c r="G84" s="12">
        <f>0.0*(1+Reajustes!H82)</f>
        <v/>
      </c>
      <c r="H84" s="12">
        <f>38.0*(1+Reajustes!H82)</f>
        <v/>
      </c>
      <c r="I84" s="12">
        <f>50.0*(1+Reajustes!H82)</f>
        <v/>
      </c>
      <c r="J84" s="12">
        <f>0.0*(1+Reajustes!H82)</f>
        <v/>
      </c>
      <c r="K84" s="12">
        <f>0.0*(1+Reajustes!H82)</f>
        <v/>
      </c>
      <c r="L84" s="12">
        <f>120.0*(1+Reajustes!H82)</f>
        <v/>
      </c>
      <c r="M84" s="12">
        <f>0.0*(1+Reajustes!H82)</f>
        <v/>
      </c>
      <c r="N84" s="12">
        <f>120.0*(1+Reajustes!H82)</f>
        <v/>
      </c>
      <c r="O84" s="12">
        <f>SUM(C84:N84)</f>
        <v/>
      </c>
    </row>
    <row r="85">
      <c r="B85" s="8" t="inlineStr">
        <is>
          <t>Serviço em Portão</t>
        </is>
      </c>
      <c r="C85" s="12">
        <f>0.0*(1+Reajustes!H83)</f>
        <v/>
      </c>
      <c r="D85" s="12">
        <f>0.0*(1+Reajustes!H83)</f>
        <v/>
      </c>
      <c r="E85" s="12">
        <f>150.0*(1+Reajustes!H83)</f>
        <v/>
      </c>
      <c r="F85" s="12">
        <f>0.0*(1+Reajustes!H83)</f>
        <v/>
      </c>
      <c r="G85" s="12">
        <f>0.0*(1+Reajustes!H83)</f>
        <v/>
      </c>
      <c r="H85" s="12">
        <f>1268.15*(1+Reajustes!H83)</f>
        <v/>
      </c>
      <c r="I85" s="12">
        <f>0.0*(1+Reajustes!H83)</f>
        <v/>
      </c>
      <c r="J85" s="12">
        <f>0.0*(1+Reajustes!H83)</f>
        <v/>
      </c>
      <c r="K85" s="12">
        <f>0.0*(1+Reajustes!H83)</f>
        <v/>
      </c>
      <c r="L85" s="12">
        <f>0.0*(1+Reajustes!H83)</f>
        <v/>
      </c>
      <c r="M85" s="12">
        <f>0.0*(1+Reajustes!H83)</f>
        <v/>
      </c>
      <c r="N85" s="12">
        <f>0.0*(1+Reajustes!H83)</f>
        <v/>
      </c>
      <c r="O85" s="12">
        <f>SUM(C85:N85)</f>
        <v/>
      </c>
    </row>
    <row r="86">
      <c r="B86" s="8" t="inlineStr">
        <is>
          <t>Serviço de Jardinagem</t>
        </is>
      </c>
      <c r="C86" s="12">
        <f>0.0*(1+Reajustes!H84)</f>
        <v/>
      </c>
      <c r="D86" s="12">
        <f>500.0*(1+Reajustes!H84)</f>
        <v/>
      </c>
      <c r="E86" s="12">
        <f>700.0*(1+Reajustes!H84)</f>
        <v/>
      </c>
      <c r="F86" s="12">
        <f>700.0*(1+Reajustes!H84)</f>
        <v/>
      </c>
      <c r="G86" s="12">
        <f>500.0*(1+Reajustes!H84)</f>
        <v/>
      </c>
      <c r="H86" s="12">
        <f>500.0*(1+Reajustes!H84)</f>
        <v/>
      </c>
      <c r="I86" s="12">
        <f>500.0*(1+Reajustes!H84)</f>
        <v/>
      </c>
      <c r="J86" s="12">
        <f>500.0*(1+Reajustes!H84)</f>
        <v/>
      </c>
      <c r="K86" s="12">
        <f>500.0*(1+Reajustes!H84)</f>
        <v/>
      </c>
      <c r="L86" s="12">
        <f>0.0*(1+Reajustes!H84)</f>
        <v/>
      </c>
      <c r="M86" s="12">
        <f>0.0*(1+Reajustes!H84)</f>
        <v/>
      </c>
      <c r="N86" s="12">
        <f>0.0*(1+Reajustes!H84)</f>
        <v/>
      </c>
      <c r="O86" s="12">
        <f>SUM(C86:N86)</f>
        <v/>
      </c>
    </row>
    <row r="87">
      <c r="B87" s="8" t="inlineStr">
        <is>
          <t>Serviço de Reparo</t>
        </is>
      </c>
      <c r="C87" s="12">
        <f>0.0*(1+Reajustes!H85)</f>
        <v/>
      </c>
      <c r="D87" s="12">
        <f>0.0*(1+Reajustes!H85)</f>
        <v/>
      </c>
      <c r="E87" s="12">
        <f>0.0*(1+Reajustes!H85)</f>
        <v/>
      </c>
      <c r="F87" s="12">
        <f>0.0*(1+Reajustes!H85)</f>
        <v/>
      </c>
      <c r="G87" s="12">
        <f>0.0*(1+Reajustes!H85)</f>
        <v/>
      </c>
      <c r="H87" s="12">
        <f>0.0*(1+Reajustes!H85)</f>
        <v/>
      </c>
      <c r="I87" s="12">
        <f>0.0*(1+Reajustes!H85)</f>
        <v/>
      </c>
      <c r="J87" s="12">
        <f>220.0*(1+Reajustes!H85)</f>
        <v/>
      </c>
      <c r="K87" s="12">
        <f>1783.6*(1+Reajustes!H85)</f>
        <v/>
      </c>
      <c r="L87" s="12">
        <f>0.0*(1+Reajustes!H85)</f>
        <v/>
      </c>
      <c r="M87" s="12">
        <f>0.0*(1+Reajustes!H85)</f>
        <v/>
      </c>
      <c r="N87" s="12">
        <f>0.0*(1+Reajustes!H85)</f>
        <v/>
      </c>
      <c r="O87" s="12">
        <f>SUM(C87:N87)</f>
        <v/>
      </c>
    </row>
    <row r="88">
      <c r="B88" s="8" t="inlineStr">
        <is>
          <t>Serviço de Marcenária</t>
        </is>
      </c>
      <c r="C88" s="12">
        <f>0.0*(1+Reajustes!H86)</f>
        <v/>
      </c>
      <c r="D88" s="12">
        <f>0.0*(1+Reajustes!H86)</f>
        <v/>
      </c>
      <c r="E88" s="12">
        <f>0.0*(1+Reajustes!H86)</f>
        <v/>
      </c>
      <c r="F88" s="12">
        <f>0.0*(1+Reajustes!H86)</f>
        <v/>
      </c>
      <c r="G88" s="12">
        <f>500.0*(1+Reajustes!H86)</f>
        <v/>
      </c>
      <c r="H88" s="12">
        <f>600.0*(1+Reajustes!H86)</f>
        <v/>
      </c>
      <c r="I88" s="12">
        <f>0.0*(1+Reajustes!H86)</f>
        <v/>
      </c>
      <c r="J88" s="12">
        <f>0.0*(1+Reajustes!H86)</f>
        <v/>
      </c>
      <c r="K88" s="12">
        <f>0.0*(1+Reajustes!H86)</f>
        <v/>
      </c>
      <c r="L88" s="12">
        <f>0.0*(1+Reajustes!H86)</f>
        <v/>
      </c>
      <c r="M88" s="12">
        <f>0.0*(1+Reajustes!H86)</f>
        <v/>
      </c>
      <c r="N88" s="12">
        <f>0.0*(1+Reajustes!H86)</f>
        <v/>
      </c>
      <c r="O88" s="12">
        <f>SUM(C88:N88)</f>
        <v/>
      </c>
    </row>
    <row r="89">
      <c r="B89" s="8" t="inlineStr">
        <is>
          <t>Serviço de Descupinização</t>
        </is>
      </c>
      <c r="C89" s="12">
        <f>0.0*(1+Reajustes!H87)</f>
        <v/>
      </c>
      <c r="D89" s="12">
        <f>0.0*(1+Reajustes!H87)</f>
        <v/>
      </c>
      <c r="E89" s="12">
        <f>0.0*(1+Reajustes!H87)</f>
        <v/>
      </c>
      <c r="F89" s="12">
        <f>0.0*(1+Reajustes!H87)</f>
        <v/>
      </c>
      <c r="G89" s="12">
        <f>0.0*(1+Reajustes!H87)</f>
        <v/>
      </c>
      <c r="H89" s="12">
        <f>0.0*(1+Reajustes!H87)</f>
        <v/>
      </c>
      <c r="I89" s="12">
        <f>0.0*(1+Reajustes!H87)</f>
        <v/>
      </c>
      <c r="J89" s="12">
        <f>0.0*(1+Reajustes!H87)</f>
        <v/>
      </c>
      <c r="K89" s="12">
        <f>0.0*(1+Reajustes!H87)</f>
        <v/>
      </c>
      <c r="L89" s="12">
        <f>0.0*(1+Reajustes!H87)</f>
        <v/>
      </c>
      <c r="M89" s="12">
        <f>0.0*(1+Reajustes!H87)</f>
        <v/>
      </c>
      <c r="N89" s="12">
        <f>731.64*(1+Reajustes!H87)</f>
        <v/>
      </c>
      <c r="O89" s="12">
        <f>SUM(C89:N89)</f>
        <v/>
      </c>
    </row>
    <row r="90">
      <c r="B90" s="8" t="inlineStr">
        <is>
          <t>Serviço Manutenção</t>
        </is>
      </c>
      <c r="C90" s="12">
        <f>0.0*(1+Reajustes!H88)</f>
        <v/>
      </c>
      <c r="D90" s="12">
        <f>0.0*(1+Reajustes!H88)</f>
        <v/>
      </c>
      <c r="E90" s="12">
        <f>0.0*(1+Reajustes!H88)</f>
        <v/>
      </c>
      <c r="F90" s="12">
        <f>0.0*(1+Reajustes!H88)</f>
        <v/>
      </c>
      <c r="G90" s="12">
        <f>1504.16*(1+Reajustes!H88)</f>
        <v/>
      </c>
      <c r="H90" s="12">
        <f>0.0*(1+Reajustes!H88)</f>
        <v/>
      </c>
      <c r="I90" s="12">
        <f>1316.25*(1+Reajustes!H88)</f>
        <v/>
      </c>
      <c r="J90" s="12">
        <f>972.0*(1+Reajustes!H88)</f>
        <v/>
      </c>
      <c r="K90" s="12">
        <f>0.0*(1+Reajustes!H88)</f>
        <v/>
      </c>
      <c r="L90" s="12">
        <f>0.0*(1+Reajustes!H88)</f>
        <v/>
      </c>
      <c r="M90" s="12">
        <f>0.0*(1+Reajustes!H88)</f>
        <v/>
      </c>
      <c r="N90" s="12">
        <f>0.0*(1+Reajustes!H88)</f>
        <v/>
      </c>
      <c r="O90" s="12">
        <f>SUM(C90:N90)</f>
        <v/>
      </c>
    </row>
    <row r="91">
      <c r="B91" s="8" t="inlineStr">
        <is>
          <t>Serviço na Área de Lazer</t>
        </is>
      </c>
      <c r="C91" s="12">
        <f>0.0*(1+Reajustes!H89)</f>
        <v/>
      </c>
      <c r="D91" s="12">
        <f>0.0*(1+Reajustes!H89)</f>
        <v/>
      </c>
      <c r="E91" s="12">
        <f>0.0*(1+Reajustes!H89)</f>
        <v/>
      </c>
      <c r="F91" s="12">
        <f>0.0*(1+Reajustes!H89)</f>
        <v/>
      </c>
      <c r="G91" s="12">
        <f>0.0*(1+Reajustes!H89)</f>
        <v/>
      </c>
      <c r="H91" s="12">
        <f>0.0*(1+Reajustes!H89)</f>
        <v/>
      </c>
      <c r="I91" s="12">
        <f>650.0*(1+Reajustes!H89)</f>
        <v/>
      </c>
      <c r="J91" s="12">
        <f>0.0*(1+Reajustes!H89)</f>
        <v/>
      </c>
      <c r="K91" s="12">
        <f>0.0*(1+Reajustes!H89)</f>
        <v/>
      </c>
      <c r="L91" s="12">
        <f>0.0*(1+Reajustes!H89)</f>
        <v/>
      </c>
      <c r="M91" s="12">
        <f>0.0*(1+Reajustes!H89)</f>
        <v/>
      </c>
      <c r="N91" s="12">
        <f>0.0*(1+Reajustes!H89)</f>
        <v/>
      </c>
      <c r="O91" s="12">
        <f>SUM(C91:N91)</f>
        <v/>
      </c>
    </row>
    <row r="92">
      <c r="B92" s="8" t="inlineStr">
        <is>
          <t>Obras-Melhorias</t>
        </is>
      </c>
      <c r="C92" s="12">
        <f>0.0*(1+Reajustes!H90)</f>
        <v/>
      </c>
      <c r="D92" s="12">
        <f>0.0*(1+Reajustes!H90)</f>
        <v/>
      </c>
      <c r="E92" s="12">
        <f>0.0*(1+Reajustes!H90)</f>
        <v/>
      </c>
      <c r="F92" s="12">
        <f>0.0*(1+Reajustes!H90)</f>
        <v/>
      </c>
      <c r="G92" s="12">
        <f>0.0*(1+Reajustes!H90)</f>
        <v/>
      </c>
      <c r="H92" s="12">
        <f>0.0*(1+Reajustes!H90)</f>
        <v/>
      </c>
      <c r="I92" s="12">
        <f>0.0*(1+Reajustes!H90)</f>
        <v/>
      </c>
      <c r="J92" s="12">
        <f>0.0*(1+Reajustes!H90)</f>
        <v/>
      </c>
      <c r="K92" s="12">
        <f>40000.0*(1+Reajustes!H90)</f>
        <v/>
      </c>
      <c r="L92" s="12">
        <f>45200.0*(1+Reajustes!H90)</f>
        <v/>
      </c>
      <c r="M92" s="12">
        <f>40000.0*(1+Reajustes!H90)</f>
        <v/>
      </c>
      <c r="N92" s="12">
        <f>3900.0*(1+Reajustes!H90)</f>
        <v/>
      </c>
      <c r="O92" s="12">
        <f>SUM(C92:N92)</f>
        <v/>
      </c>
    </row>
    <row r="93">
      <c r="B93" s="8" t="inlineStr">
        <is>
          <t>Serviço Segurança Eletrônica</t>
        </is>
      </c>
      <c r="C93" s="12">
        <f>0.0*(1+Reajustes!H91)</f>
        <v/>
      </c>
      <c r="D93" s="12">
        <f>0.0*(1+Reajustes!H91)</f>
        <v/>
      </c>
      <c r="E93" s="12">
        <f>300.0*(1+Reajustes!H91)</f>
        <v/>
      </c>
      <c r="F93" s="12">
        <f>549.5*(1+Reajustes!H91)</f>
        <v/>
      </c>
      <c r="G93" s="12">
        <f>549.5*(1+Reajustes!H91)</f>
        <v/>
      </c>
      <c r="H93" s="12">
        <f>549.5*(1+Reajustes!H91)</f>
        <v/>
      </c>
      <c r="I93" s="12">
        <f>0.0*(1+Reajustes!H91)</f>
        <v/>
      </c>
      <c r="J93" s="12">
        <f>0.0*(1+Reajustes!H91)</f>
        <v/>
      </c>
      <c r="K93" s="12">
        <f>0.0*(1+Reajustes!H91)</f>
        <v/>
      </c>
      <c r="L93" s="12">
        <f>0.0*(1+Reajustes!H91)</f>
        <v/>
      </c>
      <c r="M93" s="12">
        <f>339.85*(1+Reajustes!H91)</f>
        <v/>
      </c>
      <c r="N93" s="12">
        <f>339.85*(1+Reajustes!H91)</f>
        <v/>
      </c>
      <c r="O93" s="12">
        <f>SUM(C93:N93)</f>
        <v/>
      </c>
    </row>
    <row r="94">
      <c r="B94" s="8" t="inlineStr">
        <is>
          <t>Serviço de Reparo na bomba</t>
        </is>
      </c>
      <c r="C94" s="12">
        <f>973.18*(1+Reajustes!H92)</f>
        <v/>
      </c>
      <c r="D94" s="12">
        <f>1453.21*(1+Reajustes!H92)</f>
        <v/>
      </c>
      <c r="E94" s="12">
        <f>410.89*(1+Reajustes!H92)</f>
        <v/>
      </c>
      <c r="F94" s="12">
        <f>410.92*(1+Reajustes!H92)</f>
        <v/>
      </c>
      <c r="G94" s="12">
        <f>0.0*(1+Reajustes!H92)</f>
        <v/>
      </c>
      <c r="H94" s="12">
        <f>0.0*(1+Reajustes!H92)</f>
        <v/>
      </c>
      <c r="I94" s="12">
        <f>0.0*(1+Reajustes!H92)</f>
        <v/>
      </c>
      <c r="J94" s="12">
        <f>533.24*(1+Reajustes!H92)</f>
        <v/>
      </c>
      <c r="K94" s="12">
        <f>533.24*(1+Reajustes!H92)</f>
        <v/>
      </c>
      <c r="L94" s="12">
        <f>533.24*(1+Reajustes!H92)</f>
        <v/>
      </c>
      <c r="M94" s="12">
        <f>533.25*(1+Reajustes!H92)</f>
        <v/>
      </c>
      <c r="N94" s="12">
        <f>0.0*(1+Reajustes!H92)</f>
        <v/>
      </c>
      <c r="O94" s="12">
        <f>SUM(C94:N94)</f>
        <v/>
      </c>
    </row>
    <row r="95">
      <c r="B95" s="8" t="inlineStr">
        <is>
          <t>Serviço de Vistoria</t>
        </is>
      </c>
      <c r="C95" s="12">
        <f>0.0*(1+Reajustes!H93)</f>
        <v/>
      </c>
      <c r="D95" s="12">
        <f>0.0*(1+Reajustes!H93)</f>
        <v/>
      </c>
      <c r="E95" s="12">
        <f>0.0*(1+Reajustes!H93)</f>
        <v/>
      </c>
      <c r="F95" s="12">
        <f>0.0*(1+Reajustes!H93)</f>
        <v/>
      </c>
      <c r="G95" s="12">
        <f>0.0*(1+Reajustes!H93)</f>
        <v/>
      </c>
      <c r="H95" s="12">
        <f>0.0*(1+Reajustes!H93)</f>
        <v/>
      </c>
      <c r="I95" s="12">
        <f>1230.0*(1+Reajustes!H93)</f>
        <v/>
      </c>
      <c r="J95" s="12">
        <f>0.0*(1+Reajustes!H93)</f>
        <v/>
      </c>
      <c r="K95" s="12">
        <f>0.0*(1+Reajustes!H93)</f>
        <v/>
      </c>
      <c r="L95" s="12">
        <f>0.0*(1+Reajustes!H93)</f>
        <v/>
      </c>
      <c r="M95" s="12">
        <f>0.0*(1+Reajustes!H93)</f>
        <v/>
      </c>
      <c r="N95" s="12">
        <f>0.0*(1+Reajustes!H93)</f>
        <v/>
      </c>
      <c r="O95" s="12">
        <f>SUM(C95:N95)</f>
        <v/>
      </c>
    </row>
    <row r="96">
      <c r="B96" s="8" t="inlineStr">
        <is>
          <t>Serviço de Reparo de Elevador</t>
        </is>
      </c>
      <c r="C96" s="12">
        <f>2230.66*(1+Reajustes!H94)</f>
        <v/>
      </c>
      <c r="D96" s="12">
        <f>1803.16*(1+Reajustes!H94)</f>
        <v/>
      </c>
      <c r="E96" s="12">
        <f>2935.56*(1+Reajustes!H94)</f>
        <v/>
      </c>
      <c r="F96" s="12">
        <f>2369.36*(1+Reajustes!H94)</f>
        <v/>
      </c>
      <c r="G96" s="12">
        <f>2369.36*(1+Reajustes!H94)</f>
        <v/>
      </c>
      <c r="H96" s="12">
        <f>566.2*(1+Reajustes!H94)</f>
        <v/>
      </c>
      <c r="I96" s="12">
        <f>0.0*(1+Reajustes!H94)</f>
        <v/>
      </c>
      <c r="J96" s="12">
        <f>0.0*(1+Reajustes!H94)</f>
        <v/>
      </c>
      <c r="K96" s="12">
        <f>627.0*(1+Reajustes!H94)</f>
        <v/>
      </c>
      <c r="L96" s="12">
        <f>0.0*(1+Reajustes!H94)</f>
        <v/>
      </c>
      <c r="M96" s="12">
        <f>0.0*(1+Reajustes!H94)</f>
        <v/>
      </c>
      <c r="N96" s="12">
        <f>442.94*(1+Reajustes!H94)</f>
        <v/>
      </c>
      <c r="O96" s="12">
        <f>SUM(C96:N96)</f>
        <v/>
      </c>
    </row>
    <row r="97">
      <c r="B97" s="8" t="inlineStr">
        <is>
          <t>Serviço de Manutenção Extintores</t>
        </is>
      </c>
      <c r="C97" s="12">
        <f>1404.0*(1+Reajustes!H95)</f>
        <v/>
      </c>
      <c r="D97" s="12">
        <f>0.0*(1+Reajustes!H95)</f>
        <v/>
      </c>
      <c r="E97" s="12">
        <f>0.0*(1+Reajustes!H95)</f>
        <v/>
      </c>
      <c r="F97" s="12">
        <f>0.0*(1+Reajustes!H95)</f>
        <v/>
      </c>
      <c r="G97" s="12">
        <f>0.0*(1+Reajustes!H95)</f>
        <v/>
      </c>
      <c r="H97" s="12">
        <f>0.0*(1+Reajustes!H95)</f>
        <v/>
      </c>
      <c r="I97" s="12">
        <f>0.0*(1+Reajustes!H95)</f>
        <v/>
      </c>
      <c r="J97" s="12">
        <f>0.0*(1+Reajustes!H95)</f>
        <v/>
      </c>
      <c r="K97" s="12">
        <f>0.0*(1+Reajustes!H95)</f>
        <v/>
      </c>
      <c r="L97" s="12">
        <f>0.0*(1+Reajustes!H95)</f>
        <v/>
      </c>
      <c r="M97" s="12">
        <f>0.0*(1+Reajustes!H95)</f>
        <v/>
      </c>
      <c r="N97" s="12">
        <f>0.0*(1+Reajustes!H95)</f>
        <v/>
      </c>
      <c r="O97" s="12">
        <f>SUM(C97:N97)</f>
        <v/>
      </c>
    </row>
    <row r="98">
      <c r="B98" s="8" t="inlineStr">
        <is>
          <t>Serviço Prestados</t>
        </is>
      </c>
      <c r="C98" s="12">
        <f>0.0*(1+Reajustes!H96)</f>
        <v/>
      </c>
      <c r="D98" s="12">
        <f>0.0*(1+Reajustes!H96)</f>
        <v/>
      </c>
      <c r="E98" s="12">
        <f>681.49*(1+Reajustes!H96)</f>
        <v/>
      </c>
      <c r="F98" s="12">
        <f>0.0*(1+Reajustes!H96)</f>
        <v/>
      </c>
      <c r="G98" s="12">
        <f>0.0*(1+Reajustes!H96)</f>
        <v/>
      </c>
      <c r="H98" s="12">
        <f>0.0*(1+Reajustes!H96)</f>
        <v/>
      </c>
      <c r="I98" s="12">
        <f>0.0*(1+Reajustes!H96)</f>
        <v/>
      </c>
      <c r="J98" s="12">
        <f>0.0*(1+Reajustes!H96)</f>
        <v/>
      </c>
      <c r="K98" s="12">
        <f>0.0*(1+Reajustes!H96)</f>
        <v/>
      </c>
      <c r="L98" s="12">
        <f>0.0*(1+Reajustes!H96)</f>
        <v/>
      </c>
      <c r="M98" s="12">
        <f>0.0*(1+Reajustes!H96)</f>
        <v/>
      </c>
      <c r="N98" s="12">
        <f>0.0*(1+Reajustes!H96)</f>
        <v/>
      </c>
      <c r="O98" s="12">
        <f>SUM(C98:N98)</f>
        <v/>
      </c>
    </row>
    <row r="99">
      <c r="B99" s="8" t="inlineStr">
        <is>
          <t>Serviço de Comunicação Visual</t>
        </is>
      </c>
      <c r="C99" s="12">
        <f>600.0*(1+Reajustes!H97)</f>
        <v/>
      </c>
      <c r="D99" s="12">
        <f>500.0*(1+Reajustes!H97)</f>
        <v/>
      </c>
      <c r="E99" s="12">
        <f>500.0*(1+Reajustes!H97)</f>
        <v/>
      </c>
      <c r="F99" s="12">
        <f>0.0*(1+Reajustes!H97)</f>
        <v/>
      </c>
      <c r="G99" s="12">
        <f>0.0*(1+Reajustes!H97)</f>
        <v/>
      </c>
      <c r="H99" s="12">
        <f>0.0*(1+Reajustes!H97)</f>
        <v/>
      </c>
      <c r="I99" s="12">
        <f>0.0*(1+Reajustes!H97)</f>
        <v/>
      </c>
      <c r="J99" s="12">
        <f>0.0*(1+Reajustes!H97)</f>
        <v/>
      </c>
      <c r="K99" s="12">
        <f>0.0*(1+Reajustes!H97)</f>
        <v/>
      </c>
      <c r="L99" s="12">
        <f>0.0*(1+Reajustes!H97)</f>
        <v/>
      </c>
      <c r="M99" s="12">
        <f>0.0*(1+Reajustes!H97)</f>
        <v/>
      </c>
      <c r="N99" s="12">
        <f>0.0*(1+Reajustes!H97)</f>
        <v/>
      </c>
      <c r="O99" s="12">
        <f>SUM(C99:N99)</f>
        <v/>
      </c>
    </row>
    <row r="100">
      <c r="B100" s="8" t="inlineStr">
        <is>
          <t>Serviço de Ar Condicionado</t>
        </is>
      </c>
      <c r="C100" s="12">
        <f>0.0*(1+Reajustes!H98)</f>
        <v/>
      </c>
      <c r="D100" s="12">
        <f>500.0*(1+Reajustes!H98)</f>
        <v/>
      </c>
      <c r="E100" s="12">
        <f>0.0*(1+Reajustes!H98)</f>
        <v/>
      </c>
      <c r="F100" s="12">
        <f>0.0*(1+Reajustes!H98)</f>
        <v/>
      </c>
      <c r="G100" s="12">
        <f>0.0*(1+Reajustes!H98)</f>
        <v/>
      </c>
      <c r="H100" s="12">
        <f>0.0*(1+Reajustes!H98)</f>
        <v/>
      </c>
      <c r="I100" s="12">
        <f>0.0*(1+Reajustes!H98)</f>
        <v/>
      </c>
      <c r="J100" s="12">
        <f>0.0*(1+Reajustes!H98)</f>
        <v/>
      </c>
      <c r="K100" s="12">
        <f>280.0*(1+Reajustes!H98)</f>
        <v/>
      </c>
      <c r="L100" s="12">
        <f>0.0*(1+Reajustes!H98)</f>
        <v/>
      </c>
      <c r="M100" s="12">
        <f>0.0*(1+Reajustes!H98)</f>
        <v/>
      </c>
      <c r="N100" s="12">
        <f>0.0*(1+Reajustes!H98)</f>
        <v/>
      </c>
      <c r="O100" s="12">
        <f>SUM(C100:N100)</f>
        <v/>
      </c>
    </row>
    <row r="101">
      <c r="B101" s="8" t="inlineStr">
        <is>
          <t>Serviço de Frete</t>
        </is>
      </c>
      <c r="C101" s="12">
        <f>0.0*(1+Reajustes!H99)</f>
        <v/>
      </c>
      <c r="D101" s="12">
        <f>0.0*(1+Reajustes!H99)</f>
        <v/>
      </c>
      <c r="E101" s="12">
        <f>0.0*(1+Reajustes!H99)</f>
        <v/>
      </c>
      <c r="F101" s="12">
        <f>0.0*(1+Reajustes!H99)</f>
        <v/>
      </c>
      <c r="G101" s="12">
        <f>0.0*(1+Reajustes!H99)</f>
        <v/>
      </c>
      <c r="H101" s="12">
        <f>0.0*(1+Reajustes!H99)</f>
        <v/>
      </c>
      <c r="I101" s="12">
        <f>0.0*(1+Reajustes!H99)</f>
        <v/>
      </c>
      <c r="J101" s="12">
        <f>0.0*(1+Reajustes!H99)</f>
        <v/>
      </c>
      <c r="K101" s="12">
        <f>850.0*(1+Reajustes!H99)</f>
        <v/>
      </c>
      <c r="L101" s="12">
        <f>0.0*(1+Reajustes!H99)</f>
        <v/>
      </c>
      <c r="M101" s="12">
        <f>0.0*(1+Reajustes!H99)</f>
        <v/>
      </c>
      <c r="N101" s="12">
        <f>0.0*(1+Reajustes!H99)</f>
        <v/>
      </c>
      <c r="O101" s="12">
        <f>SUM(C101:N101)</f>
        <v/>
      </c>
    </row>
    <row r="102">
      <c r="B102" s="8" t="inlineStr">
        <is>
          <t>Serviço de Reforma Móveis e Utensílios</t>
        </is>
      </c>
      <c r="C102" s="12">
        <f>0.0*(1+Reajustes!H100)</f>
        <v/>
      </c>
      <c r="D102" s="12">
        <f>0.0*(1+Reajustes!H100)</f>
        <v/>
      </c>
      <c r="E102" s="12">
        <f>0.0*(1+Reajustes!H100)</f>
        <v/>
      </c>
      <c r="F102" s="12">
        <f>0.0*(1+Reajustes!H100)</f>
        <v/>
      </c>
      <c r="G102" s="12">
        <f>0.0*(1+Reajustes!H100)</f>
        <v/>
      </c>
      <c r="H102" s="12">
        <f>0.0*(1+Reajustes!H100)</f>
        <v/>
      </c>
      <c r="I102" s="12">
        <f>0.0*(1+Reajustes!H100)</f>
        <v/>
      </c>
      <c r="J102" s="12">
        <f>0.0*(1+Reajustes!H100)</f>
        <v/>
      </c>
      <c r="K102" s="12">
        <f>1795.5*(1+Reajustes!H100)</f>
        <v/>
      </c>
      <c r="L102" s="12">
        <f>0.0*(1+Reajustes!H100)</f>
        <v/>
      </c>
      <c r="M102" s="12">
        <f>0.0*(1+Reajustes!H100)</f>
        <v/>
      </c>
      <c r="N102" s="12">
        <f>0.0*(1+Reajustes!H100)</f>
        <v/>
      </c>
      <c r="O102" s="12">
        <f>SUM(C102:N102)</f>
        <v/>
      </c>
    </row>
    <row r="103">
      <c r="B103" s="8" t="inlineStr">
        <is>
          <t>Serviço em Aparelho de Academia</t>
        </is>
      </c>
      <c r="C103" s="12">
        <f>0.0*(1+Reajustes!H101)</f>
        <v/>
      </c>
      <c r="D103" s="12">
        <f>0.0*(1+Reajustes!H101)</f>
        <v/>
      </c>
      <c r="E103" s="12">
        <f>0.0*(1+Reajustes!H101)</f>
        <v/>
      </c>
      <c r="F103" s="12">
        <f>0.0*(1+Reajustes!H101)</f>
        <v/>
      </c>
      <c r="G103" s="12">
        <f>0.0*(1+Reajustes!H101)</f>
        <v/>
      </c>
      <c r="H103" s="12">
        <f>0.0*(1+Reajustes!H101)</f>
        <v/>
      </c>
      <c r="I103" s="12">
        <f>0.0*(1+Reajustes!H101)</f>
        <v/>
      </c>
      <c r="J103" s="12">
        <f>176.38*(1+Reajustes!H101)</f>
        <v/>
      </c>
      <c r="K103" s="12">
        <f>0.0*(1+Reajustes!H101)</f>
        <v/>
      </c>
      <c r="L103" s="12">
        <f>274.37*(1+Reajustes!H101)</f>
        <v/>
      </c>
      <c r="M103" s="12">
        <f>500.0*(1+Reajustes!H101)</f>
        <v/>
      </c>
      <c r="N103" s="12">
        <f>0.0*(1+Reajustes!H101)</f>
        <v/>
      </c>
      <c r="O103" s="12">
        <f>SUM(C103:N103)</f>
        <v/>
      </c>
    </row>
    <row r="104">
      <c r="B104" s="8" t="inlineStr">
        <is>
          <t>Serviço Manutenção de Caixa d água</t>
        </is>
      </c>
      <c r="C104" s="12">
        <f>0.0*(1+Reajustes!H102)</f>
        <v/>
      </c>
      <c r="D104" s="12">
        <f>0.0*(1+Reajustes!H102)</f>
        <v/>
      </c>
      <c r="E104" s="12">
        <f>0.0*(1+Reajustes!H102)</f>
        <v/>
      </c>
      <c r="F104" s="12">
        <f>0.0*(1+Reajustes!H102)</f>
        <v/>
      </c>
      <c r="G104" s="12">
        <f>0.0*(1+Reajustes!H102)</f>
        <v/>
      </c>
      <c r="H104" s="12">
        <f>0.0*(1+Reajustes!H102)</f>
        <v/>
      </c>
      <c r="I104" s="12">
        <f>0.0*(1+Reajustes!H102)</f>
        <v/>
      </c>
      <c r="J104" s="12">
        <f>0.0*(1+Reajustes!H102)</f>
        <v/>
      </c>
      <c r="K104" s="12">
        <f>0.0*(1+Reajustes!H102)</f>
        <v/>
      </c>
      <c r="L104" s="12">
        <f>0.0*(1+Reajustes!H102)</f>
        <v/>
      </c>
      <c r="M104" s="12">
        <f>550.0*(1+Reajustes!H102)</f>
        <v/>
      </c>
      <c r="N104" s="12">
        <f>0.0*(1+Reajustes!H102)</f>
        <v/>
      </c>
      <c r="O104" s="12">
        <f>SUM(C104:N104)</f>
        <v/>
      </c>
    </row>
    <row r="105">
      <c r="B105" s="8" t="inlineStr">
        <is>
          <t>Serviço Eletrônico Obra</t>
        </is>
      </c>
      <c r="C105" s="12">
        <f>0.0*(1+Reajustes!H103)</f>
        <v/>
      </c>
      <c r="D105" s="12">
        <f>0.0*(1+Reajustes!H103)</f>
        <v/>
      </c>
      <c r="E105" s="12">
        <f>0.0*(1+Reajustes!H103)</f>
        <v/>
      </c>
      <c r="F105" s="12">
        <f>0.0*(1+Reajustes!H103)</f>
        <v/>
      </c>
      <c r="G105" s="12">
        <f>220.0*(1+Reajustes!H103)</f>
        <v/>
      </c>
      <c r="H105" s="12">
        <f>0.0*(1+Reajustes!H103)</f>
        <v/>
      </c>
      <c r="I105" s="12">
        <f>0.0*(1+Reajustes!H103)</f>
        <v/>
      </c>
      <c r="J105" s="12">
        <f>0.0*(1+Reajustes!H103)</f>
        <v/>
      </c>
      <c r="K105" s="12">
        <f>0.0*(1+Reajustes!H103)</f>
        <v/>
      </c>
      <c r="L105" s="12">
        <f>0.0*(1+Reajustes!H103)</f>
        <v/>
      </c>
      <c r="M105" s="12">
        <f>0.0*(1+Reajustes!H103)</f>
        <v/>
      </c>
      <c r="N105" s="12">
        <f>0.0*(1+Reajustes!H103)</f>
        <v/>
      </c>
      <c r="O105" s="12">
        <f>SUM(C105:N105)</f>
        <v/>
      </c>
    </row>
    <row r="106">
      <c r="B106" s="8" t="inlineStr">
        <is>
          <t>Serviços - Obra Fachada</t>
        </is>
      </c>
      <c r="C106" s="12">
        <f>0.0*(1+Reajustes!H104)</f>
        <v/>
      </c>
      <c r="D106" s="12">
        <f>0.0*(1+Reajustes!H104)</f>
        <v/>
      </c>
      <c r="E106" s="12">
        <f>0.0*(1+Reajustes!H104)</f>
        <v/>
      </c>
      <c r="F106" s="12">
        <f>0.0*(1+Reajustes!H104)</f>
        <v/>
      </c>
      <c r="G106" s="12">
        <f>0.0*(1+Reajustes!H104)</f>
        <v/>
      </c>
      <c r="H106" s="12">
        <f>0.0*(1+Reajustes!H104)</f>
        <v/>
      </c>
      <c r="I106" s="12">
        <f>0.0*(1+Reajustes!H104)</f>
        <v/>
      </c>
      <c r="J106" s="12">
        <f>0.0*(1+Reajustes!H104)</f>
        <v/>
      </c>
      <c r="K106" s="12">
        <f>0.0*(1+Reajustes!H104)</f>
        <v/>
      </c>
      <c r="L106" s="12">
        <f>0.0*(1+Reajustes!H104)</f>
        <v/>
      </c>
      <c r="M106" s="12">
        <f>0.0*(1+Reajustes!H104)</f>
        <v/>
      </c>
      <c r="N106" s="12">
        <f>40000.0*(1+Reajustes!H104)</f>
        <v/>
      </c>
      <c r="O106" s="12">
        <f>SUM(C106:N106)</f>
        <v/>
      </c>
    </row>
    <row r="107">
      <c r="B107" s="8" t="inlineStr">
        <is>
          <t>Serviços - Obra Telhado</t>
        </is>
      </c>
      <c r="C107" s="12">
        <f>0.0*(1+Reajustes!H105)</f>
        <v/>
      </c>
      <c r="D107" s="12">
        <f>0.0*(1+Reajustes!H105)</f>
        <v/>
      </c>
      <c r="E107" s="12">
        <f>0.0*(1+Reajustes!H105)</f>
        <v/>
      </c>
      <c r="F107" s="12">
        <f>0.0*(1+Reajustes!H105)</f>
        <v/>
      </c>
      <c r="G107" s="12">
        <f>0.0*(1+Reajustes!H105)</f>
        <v/>
      </c>
      <c r="H107" s="12">
        <f>0.0*(1+Reajustes!H105)</f>
        <v/>
      </c>
      <c r="I107" s="12">
        <f>0.0*(1+Reajustes!H105)</f>
        <v/>
      </c>
      <c r="J107" s="12">
        <f>0.0*(1+Reajustes!H105)</f>
        <v/>
      </c>
      <c r="K107" s="12">
        <f>0.0*(1+Reajustes!H105)</f>
        <v/>
      </c>
      <c r="L107" s="12">
        <f>0.0*(1+Reajustes!H105)</f>
        <v/>
      </c>
      <c r="M107" s="12">
        <f>1100.0*(1+Reajustes!H105)</f>
        <v/>
      </c>
      <c r="N107" s="12">
        <f>1000.0*(1+Reajustes!H105)</f>
        <v/>
      </c>
      <c r="O107" s="12">
        <f>SUM(C107:N107)</f>
        <v/>
      </c>
    </row>
    <row r="108">
      <c r="B108" s="18" t="inlineStr">
        <is>
          <t xml:space="preserve">  Total Serviços</t>
        </is>
      </c>
      <c r="C108" s="19">
        <f>SUM(C74:C107)</f>
        <v/>
      </c>
      <c r="D108" s="19">
        <f>SUM(D74:D107)</f>
        <v/>
      </c>
      <c r="E108" s="19">
        <f>SUM(E74:E107)</f>
        <v/>
      </c>
      <c r="F108" s="19">
        <f>SUM(F74:F107)</f>
        <v/>
      </c>
      <c r="G108" s="19">
        <f>SUM(G74:G107)</f>
        <v/>
      </c>
      <c r="H108" s="19">
        <f>SUM(H74:H107)</f>
        <v/>
      </c>
      <c r="I108" s="19">
        <f>SUM(I74:I107)</f>
        <v/>
      </c>
      <c r="J108" s="19">
        <f>SUM(J74:J107)</f>
        <v/>
      </c>
      <c r="K108" s="19">
        <f>SUM(K74:K107)</f>
        <v/>
      </c>
      <c r="L108" s="19">
        <f>SUM(L74:L107)</f>
        <v/>
      </c>
      <c r="M108" s="19">
        <f>SUM(M74:M107)</f>
        <v/>
      </c>
      <c r="N108" s="19">
        <f>SUM(N74:N107)</f>
        <v/>
      </c>
      <c r="O108" s="19">
        <f>SUM(O74:O107)</f>
        <v/>
      </c>
    </row>
    <row r="110">
      <c r="B110" s="16" t="inlineStr">
        <is>
          <t>Investimento e Equipamentos</t>
        </is>
      </c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B111" s="8" t="inlineStr">
        <is>
          <t>Móveis e Utensílios</t>
        </is>
      </c>
      <c r="C111" s="12">
        <f>0.0*(1+Reajustes!H106)</f>
        <v/>
      </c>
      <c r="D111" s="12">
        <f>0.0*(1+Reajustes!H106)</f>
        <v/>
      </c>
      <c r="E111" s="12">
        <f>0.0*(1+Reajustes!H106)</f>
        <v/>
      </c>
      <c r="F111" s="12">
        <f>0.0*(1+Reajustes!H106)</f>
        <v/>
      </c>
      <c r="G111" s="12">
        <f>0.0*(1+Reajustes!H106)</f>
        <v/>
      </c>
      <c r="H111" s="12">
        <f>0.0*(1+Reajustes!H106)</f>
        <v/>
      </c>
      <c r="I111" s="12">
        <f>0.0*(1+Reajustes!H106)</f>
        <v/>
      </c>
      <c r="J111" s="12">
        <f>0.0*(1+Reajustes!H106)</f>
        <v/>
      </c>
      <c r="K111" s="12">
        <f>0.0*(1+Reajustes!H106)</f>
        <v/>
      </c>
      <c r="L111" s="12">
        <f>3212.34*(1+Reajustes!H106)</f>
        <v/>
      </c>
      <c r="M111" s="12">
        <f>0.0*(1+Reajustes!H106)</f>
        <v/>
      </c>
      <c r="N111" s="12">
        <f>0.0*(1+Reajustes!H106)</f>
        <v/>
      </c>
      <c r="O111" s="12">
        <f>SUM(C111:N111)</f>
        <v/>
      </c>
    </row>
    <row r="112">
      <c r="B112" s="8" t="inlineStr">
        <is>
          <t>Informática</t>
        </is>
      </c>
      <c r="C112" s="12">
        <f>0.0*(1+Reajustes!H107)</f>
        <v/>
      </c>
      <c r="D112" s="12">
        <f>0.0*(1+Reajustes!H107)</f>
        <v/>
      </c>
      <c r="E112" s="12">
        <f>0.0*(1+Reajustes!H107)</f>
        <v/>
      </c>
      <c r="F112" s="12">
        <f>0.0*(1+Reajustes!H107)</f>
        <v/>
      </c>
      <c r="G112" s="12">
        <f>0.0*(1+Reajustes!H107)</f>
        <v/>
      </c>
      <c r="H112" s="12">
        <f>0.0*(1+Reajustes!H107)</f>
        <v/>
      </c>
      <c r="I112" s="12">
        <f>0.0*(1+Reajustes!H107)</f>
        <v/>
      </c>
      <c r="J112" s="12">
        <f>740.0*(1+Reajustes!H107)</f>
        <v/>
      </c>
      <c r="K112" s="12">
        <f>0.0*(1+Reajustes!H107)</f>
        <v/>
      </c>
      <c r="L112" s="12">
        <f>0.0*(1+Reajustes!H107)</f>
        <v/>
      </c>
      <c r="M112" s="12">
        <f>0.0*(1+Reajustes!H107)</f>
        <v/>
      </c>
      <c r="N112" s="12">
        <f>0.0*(1+Reajustes!H107)</f>
        <v/>
      </c>
      <c r="O112" s="12">
        <f>SUM(C112:N112)</f>
        <v/>
      </c>
    </row>
    <row r="113">
      <c r="B113" s="8" t="inlineStr">
        <is>
          <t>Eletrodoméstico-Eletroeletrônico</t>
        </is>
      </c>
      <c r="C113" s="12">
        <f>1654.77*(1+Reajustes!H108)</f>
        <v/>
      </c>
      <c r="D113" s="12">
        <f>0.0*(1+Reajustes!H108)</f>
        <v/>
      </c>
      <c r="E113" s="12">
        <f>0.0*(1+Reajustes!H108)</f>
        <v/>
      </c>
      <c r="F113" s="12">
        <f>0.0*(1+Reajustes!H108)</f>
        <v/>
      </c>
      <c r="G113" s="12">
        <f>0.0*(1+Reajustes!H108)</f>
        <v/>
      </c>
      <c r="H113" s="12">
        <f>888.93*(1+Reajustes!H108)</f>
        <v/>
      </c>
      <c r="I113" s="12">
        <f>0.0*(1+Reajustes!H108)</f>
        <v/>
      </c>
      <c r="J113" s="12">
        <f>0.0*(1+Reajustes!H108)</f>
        <v/>
      </c>
      <c r="K113" s="12">
        <f>0.0*(1+Reajustes!H108)</f>
        <v/>
      </c>
      <c r="L113" s="12">
        <f>0.0*(1+Reajustes!H108)</f>
        <v/>
      </c>
      <c r="M113" s="12">
        <f>0.0*(1+Reajustes!H108)</f>
        <v/>
      </c>
      <c r="N113" s="12">
        <f>0.0*(1+Reajustes!H108)</f>
        <v/>
      </c>
      <c r="O113" s="12">
        <f>SUM(C113:N113)</f>
        <v/>
      </c>
    </row>
    <row r="114">
      <c r="B114" s="8" t="inlineStr">
        <is>
          <t>Máquinas-Equipamentos</t>
        </is>
      </c>
      <c r="C114" s="12">
        <f>0.0*(1+Reajustes!H109)</f>
        <v/>
      </c>
      <c r="D114" s="12">
        <f>0.0*(1+Reajustes!H109)</f>
        <v/>
      </c>
      <c r="E114" s="12">
        <f>0.0*(1+Reajustes!H109)</f>
        <v/>
      </c>
      <c r="F114" s="12">
        <f>0.0*(1+Reajustes!H109)</f>
        <v/>
      </c>
      <c r="G114" s="12">
        <f>0.0*(1+Reajustes!H109)</f>
        <v/>
      </c>
      <c r="H114" s="12">
        <f>0.0*(1+Reajustes!H109)</f>
        <v/>
      </c>
      <c r="I114" s="12">
        <f>0.0*(1+Reajustes!H109)</f>
        <v/>
      </c>
      <c r="J114" s="12">
        <f>0.0*(1+Reajustes!H109)</f>
        <v/>
      </c>
      <c r="K114" s="12">
        <f>0.0*(1+Reajustes!H109)</f>
        <v/>
      </c>
      <c r="L114" s="12">
        <f>0.0*(1+Reajustes!H109)</f>
        <v/>
      </c>
      <c r="M114" s="12">
        <f>0.0*(1+Reajustes!H109)</f>
        <v/>
      </c>
      <c r="N114" s="12">
        <f>3449.98*(1+Reajustes!H109)</f>
        <v/>
      </c>
      <c r="O114" s="12">
        <f>SUM(C114:N114)</f>
        <v/>
      </c>
    </row>
    <row r="115">
      <c r="B115" s="8" t="inlineStr">
        <is>
          <t>Container de Lixo</t>
        </is>
      </c>
      <c r="C115" s="12">
        <f>1860.0*(1+Reajustes!H110)</f>
        <v/>
      </c>
      <c r="D115" s="12">
        <f>0.0*(1+Reajustes!H110)</f>
        <v/>
      </c>
      <c r="E115" s="12">
        <f>0.0*(1+Reajustes!H110)</f>
        <v/>
      </c>
      <c r="F115" s="12">
        <f>0.0*(1+Reajustes!H110)</f>
        <v/>
      </c>
      <c r="G115" s="12">
        <f>0.0*(1+Reajustes!H110)</f>
        <v/>
      </c>
      <c r="H115" s="12">
        <f>0.0*(1+Reajustes!H110)</f>
        <v/>
      </c>
      <c r="I115" s="12">
        <f>0.0*(1+Reajustes!H110)</f>
        <v/>
      </c>
      <c r="J115" s="12">
        <f>0.0*(1+Reajustes!H110)</f>
        <v/>
      </c>
      <c r="K115" s="12">
        <f>0.0*(1+Reajustes!H110)</f>
        <v/>
      </c>
      <c r="L115" s="12">
        <f>0.0*(1+Reajustes!H110)</f>
        <v/>
      </c>
      <c r="M115" s="12">
        <f>0.0*(1+Reajustes!H110)</f>
        <v/>
      </c>
      <c r="N115" s="12">
        <f>0.0*(1+Reajustes!H110)</f>
        <v/>
      </c>
      <c r="O115" s="12">
        <f>SUM(C115:N115)</f>
        <v/>
      </c>
    </row>
    <row r="116">
      <c r="B116" s="18" t="inlineStr">
        <is>
          <t xml:space="preserve">  Total Investimento e Equipamentos</t>
        </is>
      </c>
      <c r="C116" s="19">
        <f>SUM(C111:C115)</f>
        <v/>
      </c>
      <c r="D116" s="19">
        <f>SUM(D111:D115)</f>
        <v/>
      </c>
      <c r="E116" s="19">
        <f>SUM(E111:E115)</f>
        <v/>
      </c>
      <c r="F116" s="19">
        <f>SUM(F111:F115)</f>
        <v/>
      </c>
      <c r="G116" s="19">
        <f>SUM(G111:G115)</f>
        <v/>
      </c>
      <c r="H116" s="19">
        <f>SUM(H111:H115)</f>
        <v/>
      </c>
      <c r="I116" s="19">
        <f>SUM(I111:I115)</f>
        <v/>
      </c>
      <c r="J116" s="19">
        <f>SUM(J111:J115)</f>
        <v/>
      </c>
      <c r="K116" s="19">
        <f>SUM(K111:K115)</f>
        <v/>
      </c>
      <c r="L116" s="19">
        <f>SUM(L111:L115)</f>
        <v/>
      </c>
      <c r="M116" s="19">
        <f>SUM(M111:M115)</f>
        <v/>
      </c>
      <c r="N116" s="19">
        <f>SUM(N111:N115)</f>
        <v/>
      </c>
      <c r="O116" s="19">
        <f>SUM(O111:O115)</f>
        <v/>
      </c>
    </row>
    <row r="118">
      <c r="B118" s="16" t="inlineStr">
        <is>
          <t>Taxas e Recolhimentos</t>
        </is>
      </c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B119" s="8" t="inlineStr">
        <is>
          <t>ART - Taxa Conselho Regional Engenharia</t>
        </is>
      </c>
      <c r="C119" s="12">
        <f>0.0*(1+Reajustes!H111)</f>
        <v/>
      </c>
      <c r="D119" s="12">
        <f>0.0*(1+Reajustes!H111)</f>
        <v/>
      </c>
      <c r="E119" s="12">
        <f>271.47*(1+Reajustes!H111)</f>
        <v/>
      </c>
      <c r="F119" s="12">
        <f>0.0*(1+Reajustes!H111)</f>
        <v/>
      </c>
      <c r="G119" s="12">
        <f>0.0*(1+Reajustes!H111)</f>
        <v/>
      </c>
      <c r="H119" s="12">
        <f>0.0*(1+Reajustes!H111)</f>
        <v/>
      </c>
      <c r="I119" s="12">
        <f>0.0*(1+Reajustes!H111)</f>
        <v/>
      </c>
      <c r="J119" s="12">
        <f>0.0*(1+Reajustes!H111)</f>
        <v/>
      </c>
      <c r="K119" s="12">
        <f>0.0*(1+Reajustes!H111)</f>
        <v/>
      </c>
      <c r="L119" s="12">
        <f>0.0*(1+Reajustes!H111)</f>
        <v/>
      </c>
      <c r="M119" s="12">
        <f>0.0*(1+Reajustes!H111)</f>
        <v/>
      </c>
      <c r="N119" s="12">
        <f>0.0*(1+Reajustes!H111)</f>
        <v/>
      </c>
      <c r="O119" s="12">
        <f>SUM(C119:N119)</f>
        <v/>
      </c>
    </row>
    <row r="120">
      <c r="B120" s="18" t="inlineStr">
        <is>
          <t xml:space="preserve">  Total Taxas e Recolhimentos</t>
        </is>
      </c>
      <c r="C120" s="19">
        <f>SUM(C119:C119)</f>
        <v/>
      </c>
      <c r="D120" s="19">
        <f>SUM(D119:D119)</f>
        <v/>
      </c>
      <c r="E120" s="19">
        <f>SUM(E119:E119)</f>
        <v/>
      </c>
      <c r="F120" s="19">
        <f>SUM(F119:F119)</f>
        <v/>
      </c>
      <c r="G120" s="19">
        <f>SUM(G119:G119)</f>
        <v/>
      </c>
      <c r="H120" s="19">
        <f>SUM(H119:H119)</f>
        <v/>
      </c>
      <c r="I120" s="19">
        <f>SUM(I119:I119)</f>
        <v/>
      </c>
      <c r="J120" s="19">
        <f>SUM(J119:J119)</f>
        <v/>
      </c>
      <c r="K120" s="19">
        <f>SUM(K119:K119)</f>
        <v/>
      </c>
      <c r="L120" s="19">
        <f>SUM(L119:L119)</f>
        <v/>
      </c>
      <c r="M120" s="19">
        <f>SUM(M119:M119)</f>
        <v/>
      </c>
      <c r="N120" s="19">
        <f>SUM(N119:N119)</f>
        <v/>
      </c>
      <c r="O120" s="19">
        <f>SUM(O119:O119)</f>
        <v/>
      </c>
    </row>
    <row r="122">
      <c r="B122" s="5" t="inlineStr">
        <is>
          <t>TOTAL GERAL</t>
        </is>
      </c>
      <c r="C122" s="22">
        <f>C12+C18+C23+C36+C48+C71+C108+C116+C120</f>
        <v/>
      </c>
      <c r="D122" s="22">
        <f>D12+D18+D23+D36+D48+D71+D108+D116+D120</f>
        <v/>
      </c>
      <c r="E122" s="22">
        <f>E12+E18+E23+E36+E48+E71+E108+E116+E120</f>
        <v/>
      </c>
      <c r="F122" s="22">
        <f>F12+F18+F23+F36+F48+F71+F108+F116+F120</f>
        <v/>
      </c>
      <c r="G122" s="22">
        <f>G12+G18+G23+G36+G48+G71+G108+G116+G120</f>
        <v/>
      </c>
      <c r="H122" s="22">
        <f>H12+H18+H23+H36+H48+H71+H108+H116+H120</f>
        <v/>
      </c>
      <c r="I122" s="22">
        <f>I12+I18+I23+I36+I48+I71+I108+I116+I120</f>
        <v/>
      </c>
      <c r="J122" s="22">
        <f>J12+J18+J23+J36+J48+J71+J108+J116+J120</f>
        <v/>
      </c>
      <c r="K122" s="22">
        <f>K12+K18+K23+K36+K48+K71+K108+K116+K120</f>
        <v/>
      </c>
      <c r="L122" s="22">
        <f>L12+L18+L23+L36+L48+L71+L108+L116+L120</f>
        <v/>
      </c>
      <c r="M122" s="22">
        <f>M12+M18+M23+M36+M48+M71+M108+M116+M120</f>
        <v/>
      </c>
      <c r="N122" s="22">
        <f>N12+N18+N23+N36+N48+N71+N108+N116+N120</f>
        <v/>
      </c>
      <c r="O122" s="22">
        <f>O12+O18+O23+O36+O48+O71+O108+O116+O120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20" customWidth="1" min="4" max="4"/>
    <col width="18" customWidth="1" min="5" max="5"/>
    <col width="18" customWidth="1" min="6" max="6"/>
  </cols>
  <sheetData>
    <row r="2">
      <c r="B2" s="23" t="inlineStr">
        <is>
          <t>PREVISÃO ORÇAMENTÁRIA 2026</t>
        </is>
      </c>
    </row>
    <row r="3">
      <c r="B3" s="2" t="inlineStr">
        <is>
          <t>Condomínio Naturale Residencial — Base: Realizado Superlógica</t>
        </is>
      </c>
    </row>
    <row r="5">
      <c r="B5" s="5" t="inlineStr">
        <is>
          <t>RESUMO FINANCEIRO 2026</t>
        </is>
      </c>
      <c r="C5" s="6" t="n"/>
      <c r="D5" s="6" t="n"/>
      <c r="E5" s="6" t="n"/>
      <c r="F5" s="6" t="n"/>
    </row>
    <row r="7">
      <c r="C7" s="2" t="inlineStr">
        <is>
          <t>Despesa Operacional Anual (base do rateio)</t>
        </is>
      </c>
    </row>
    <row r="8">
      <c r="C8" s="4">
        <f>'Previsao Anual'!E122</f>
        <v/>
      </c>
    </row>
    <row r="10">
      <c r="C10" s="2" t="inlineStr">
        <is>
          <t>Fundo de Reserva (5%) — fora do rateio</t>
        </is>
      </c>
    </row>
    <row r="11">
      <c r="C11" s="24">
        <f>C8*0.05</f>
        <v/>
      </c>
    </row>
    <row r="13">
      <c r="C13" s="2" t="inlineStr">
        <is>
          <t>Total a Ratear no Ano (apenas operacional)</t>
        </is>
      </c>
    </row>
    <row r="14">
      <c r="C14" s="3">
        <f>C8</f>
        <v/>
      </c>
    </row>
    <row r="17">
      <c r="B17" s="5" t="inlineStr">
        <is>
          <t>MODO DE RATEIO</t>
        </is>
      </c>
      <c r="C17" s="6" t="n"/>
      <c r="D17" s="6" t="n"/>
      <c r="E17" s="6" t="n"/>
      <c r="F17" s="6" t="n"/>
    </row>
    <row r="19">
      <c r="C19" s="25" t="inlineStr">
        <is>
          <t>Modo de cálculo:</t>
        </is>
      </c>
      <c r="D19" s="26" t="inlineStr">
        <is>
          <t>Fração Ideal</t>
        </is>
      </c>
    </row>
    <row r="21">
      <c r="C21" s="8" t="inlineStr">
        <is>
          <t>Apartamentos:</t>
        </is>
      </c>
      <c r="D21" s="27" t="n">
        <v>0</v>
      </c>
    </row>
    <row r="22">
      <c r="C22" s="8" t="inlineStr">
        <is>
          <t>Coberturas:</t>
        </is>
      </c>
      <c r="D22" s="27" t="n">
        <v>0</v>
      </c>
    </row>
    <row r="23">
      <c r="C23" s="8" t="inlineStr">
        <is>
          <t>Fator da Cobertura:</t>
        </is>
      </c>
      <c r="D23" s="28" t="n">
        <v>1.5</v>
      </c>
    </row>
    <row r="24">
      <c r="C24" s="8" t="inlineStr">
        <is>
          <t>Total de Unidades (igualitário):</t>
        </is>
      </c>
      <c r="D24" s="27" t="n">
        <v>0</v>
      </c>
    </row>
    <row r="25">
      <c r="C25" s="8" t="inlineStr">
        <is>
          <t>Soma das Frações (deve fechar 1 ou 100%):</t>
        </is>
      </c>
      <c r="D25" s="29">
        <f>SUM('Frações'!C2:C100000)</f>
        <v/>
      </c>
    </row>
    <row r="27">
      <c r="C27" s="2" t="inlineStr">
        <is>
          <t>Unidades Equivalentes:</t>
        </is>
      </c>
      <c r="D27" s="30">
        <f>D21+D22*D23</f>
        <v/>
      </c>
    </row>
    <row r="29">
      <c r="C29" s="25" t="inlineStr">
        <is>
          <t>Despesa Mensal a Ratear:</t>
        </is>
      </c>
      <c r="D29" s="31">
        <f>C14/12</f>
        <v/>
      </c>
    </row>
    <row r="31">
      <c r="B31" s="5" t="inlineStr">
        <is>
          <t>TAXA MENSAL RESULTANTE</t>
        </is>
      </c>
      <c r="C31" s="6" t="n"/>
      <c r="D31" s="6" t="n"/>
      <c r="E31" s="6" t="n"/>
      <c r="F31" s="6" t="n"/>
    </row>
    <row r="33">
      <c r="C33" s="25" t="inlineStr">
        <is>
          <t>Taxa Mensal Média por Unidade:</t>
        </is>
      </c>
      <c r="D33" s="32">
        <f>IFERROR(IF(D19="Unidades Equivalentes",D29/D27,IF(D19="Igualitário",D29/D24,D29/264)),0)</f>
        <v/>
      </c>
    </row>
    <row r="34">
      <c r="C34" s="25" t="inlineStr">
        <is>
          <t>Taxa Mensal por Cobertura:</t>
        </is>
      </c>
      <c r="D34" s="4">
        <f>IFERROR(IF(D19="Unidades Equivalentes",D33*D23,D33),0)</f>
        <v/>
      </c>
    </row>
    <row r="36">
      <c r="C36" s="33" t="inlineStr">
        <is>
          <t>No modo Fração Ideal, a taxa de cada unidade = Despesa Mensal × Fração da unidade. Veja a aba 'Frações' (uma linha por unidade).</t>
        </is>
      </c>
    </row>
    <row r="37"/>
    <row r="40">
      <c r="B40" s="5" t="inlineStr">
        <is>
          <t>CUSTO MENSAL POR CATEGORIA</t>
        </is>
      </c>
      <c r="C40" s="6" t="n"/>
      <c r="D40" s="6" t="n"/>
      <c r="E40" s="6" t="n"/>
      <c r="F40" s="6" t="n"/>
    </row>
    <row r="41">
      <c r="C41" s="7" t="inlineStr">
        <is>
          <t>Categoria</t>
        </is>
      </c>
      <c r="D41" s="7" t="inlineStr">
        <is>
          <t>Anual (R$)</t>
        </is>
      </c>
      <c r="E41" s="7" t="inlineStr">
        <is>
          <t>Mensal (R$)</t>
        </is>
      </c>
    </row>
    <row r="42">
      <c r="C42" s="8" t="inlineStr">
        <is>
          <t>Despesas Financeiras</t>
        </is>
      </c>
      <c r="D42" s="12">
        <f>'Previsao Anual'!E12</f>
        <v/>
      </c>
      <c r="E42" s="12">
        <f>D42/12</f>
        <v/>
      </c>
    </row>
    <row r="43">
      <c r="C43" s="8" t="inlineStr">
        <is>
          <t>Despesa com Funcionários</t>
        </is>
      </c>
      <c r="D43" s="12">
        <f>'Previsao Anual'!E18</f>
        <v/>
      </c>
      <c r="E43" s="12">
        <f>D43/12</f>
        <v/>
      </c>
    </row>
    <row r="44">
      <c r="C44" s="8" t="inlineStr">
        <is>
          <t>Retenções Fiscais</t>
        </is>
      </c>
      <c r="D44" s="12">
        <f>'Previsao Anual'!E23</f>
        <v/>
      </c>
      <c r="E44" s="12">
        <f>D44/12</f>
        <v/>
      </c>
    </row>
    <row r="45">
      <c r="C45" s="8" t="inlineStr">
        <is>
          <t>Despesa Administrativa</t>
        </is>
      </c>
      <c r="D45" s="12">
        <f>'Previsao Anual'!E36</f>
        <v/>
      </c>
      <c r="E45" s="12">
        <f>D45/12</f>
        <v/>
      </c>
    </row>
    <row r="46">
      <c r="C46" s="8" t="inlineStr">
        <is>
          <t>Manutenção</t>
        </is>
      </c>
      <c r="D46" s="12">
        <f>'Previsao Anual'!E48</f>
        <v/>
      </c>
      <c r="E46" s="12">
        <f>D46/12</f>
        <v/>
      </c>
    </row>
    <row r="47">
      <c r="C47" s="8" t="inlineStr">
        <is>
          <t>Aquisição de Materiais</t>
        </is>
      </c>
      <c r="D47" s="12">
        <f>'Previsao Anual'!E71</f>
        <v/>
      </c>
      <c r="E47" s="12">
        <f>D47/12</f>
        <v/>
      </c>
    </row>
    <row r="48">
      <c r="C48" s="8" t="inlineStr">
        <is>
          <t>Serviços</t>
        </is>
      </c>
      <c r="D48" s="12">
        <f>'Previsao Anual'!E108</f>
        <v/>
      </c>
      <c r="E48" s="12">
        <f>D48/12</f>
        <v/>
      </c>
    </row>
    <row r="49">
      <c r="C49" s="8" t="inlineStr">
        <is>
          <t>Investimento e Equipamentos</t>
        </is>
      </c>
      <c r="D49" s="12">
        <f>'Previsao Anual'!E116</f>
        <v/>
      </c>
      <c r="E49" s="12">
        <f>D49/12</f>
        <v/>
      </c>
    </row>
    <row r="50">
      <c r="C50" s="8" t="inlineStr">
        <is>
          <t>Taxas e Recolhimentos</t>
        </is>
      </c>
      <c r="D50" s="12">
        <f>'Previsao Anual'!E120</f>
        <v/>
      </c>
      <c r="E50" s="12">
        <f>D50/12</f>
        <v/>
      </c>
    </row>
    <row r="51">
      <c r="C51" s="18" t="inlineStr">
        <is>
          <t>TOTAL GERAL</t>
        </is>
      </c>
      <c r="D51" s="19">
        <f>SUM(D42:D50)</f>
        <v/>
      </c>
      <c r="E51" s="19">
        <f>D51/12</f>
        <v/>
      </c>
    </row>
  </sheetData>
  <mergeCells count="1">
    <mergeCell ref="C36:F37"/>
  </mergeCells>
  <dataValidations count="1">
    <dataValidation sqref="D19" showDropDown="0" showInputMessage="0" showErrorMessage="0" allowBlank="0" type="list">
      <formula1>"Fração Ideal,Unidades Equivalentes,Igualitário"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20" customWidth="1" min="4" max="4"/>
  </cols>
  <sheetData>
    <row r="1">
      <c r="B1" s="21" t="inlineStr">
        <is>
          <t>Unidade</t>
        </is>
      </c>
      <c r="C1" s="21" t="inlineStr">
        <is>
          <t>Fração</t>
        </is>
      </c>
      <c r="D1" s="21" t="inlineStr">
        <is>
          <t>Taxa Mensal (R$)</t>
        </is>
      </c>
    </row>
    <row r="2">
      <c r="B2" s="8" t="inlineStr">
        <is>
          <t>Apto 0101-1</t>
        </is>
      </c>
      <c r="C2" s="34" t="n">
        <v>0.004226</v>
      </c>
      <c r="D2" s="12">
        <f>'Resumo Assembleia'!D29*C2</f>
        <v/>
      </c>
    </row>
    <row r="3">
      <c r="B3" s="8" t="inlineStr">
        <is>
          <t>Apto 0102-1</t>
        </is>
      </c>
      <c r="C3" s="34" t="n">
        <v>0.004226</v>
      </c>
      <c r="D3" s="12">
        <f>'Resumo Assembleia'!D29*C3</f>
        <v/>
      </c>
    </row>
    <row r="4">
      <c r="B4" s="8" t="inlineStr">
        <is>
          <t>Apto 0103-1</t>
        </is>
      </c>
      <c r="C4" s="34" t="n">
        <v>0.003388</v>
      </c>
      <c r="D4" s="12">
        <f>'Resumo Assembleia'!D29*C4</f>
        <v/>
      </c>
    </row>
    <row r="5">
      <c r="B5" s="8" t="inlineStr">
        <is>
          <t>Apto 0104-1</t>
        </is>
      </c>
      <c r="C5" s="34" t="n">
        <v>0.003201</v>
      </c>
      <c r="D5" s="12">
        <f>'Resumo Assembleia'!D29*C5</f>
        <v/>
      </c>
    </row>
    <row r="6">
      <c r="B6" s="8" t="inlineStr">
        <is>
          <t>Apto 0105-1</t>
        </is>
      </c>
      <c r="C6" s="34" t="n">
        <v>0.004226</v>
      </c>
      <c r="D6" s="12">
        <f>'Resumo Assembleia'!D29*C6</f>
        <v/>
      </c>
    </row>
    <row r="7">
      <c r="B7" s="8" t="inlineStr">
        <is>
          <t>Apto 0106-1</t>
        </is>
      </c>
      <c r="C7" s="34" t="n">
        <v>0.004226</v>
      </c>
      <c r="D7" s="12">
        <f>'Resumo Assembleia'!D29*C7</f>
        <v/>
      </c>
    </row>
    <row r="8">
      <c r="B8" s="8" t="inlineStr">
        <is>
          <t>Apto 0107-1</t>
        </is>
      </c>
      <c r="C8" s="34" t="n">
        <v>0.003201</v>
      </c>
      <c r="D8" s="12">
        <f>'Resumo Assembleia'!D29*C8</f>
        <v/>
      </c>
    </row>
    <row r="9">
      <c r="B9" s="8" t="inlineStr">
        <is>
          <t>Apto 0108-1</t>
        </is>
      </c>
      <c r="C9" s="34" t="n">
        <v>0.003388</v>
      </c>
      <c r="D9" s="12">
        <f>'Resumo Assembleia'!D29*C9</f>
        <v/>
      </c>
    </row>
    <row r="10">
      <c r="B10" s="8" t="inlineStr">
        <is>
          <t>Apto 0201-1</t>
        </is>
      </c>
      <c r="C10" s="34" t="n">
        <v>0.004226</v>
      </c>
      <c r="D10" s="12">
        <f>'Resumo Assembleia'!D29*C10</f>
        <v/>
      </c>
    </row>
    <row r="11">
      <c r="B11" s="8" t="inlineStr">
        <is>
          <t>Apto 0202-1</t>
        </is>
      </c>
      <c r="C11" s="34" t="n">
        <v>0.004226</v>
      </c>
      <c r="D11" s="12">
        <f>'Resumo Assembleia'!D29*C11</f>
        <v/>
      </c>
    </row>
    <row r="12">
      <c r="B12" s="8" t="inlineStr">
        <is>
          <t>Apto 0203-1</t>
        </is>
      </c>
      <c r="C12" s="34" t="n">
        <v>0.003388</v>
      </c>
      <c r="D12" s="12">
        <f>'Resumo Assembleia'!D29*C12</f>
        <v/>
      </c>
    </row>
    <row r="13">
      <c r="B13" s="8" t="inlineStr">
        <is>
          <t>Apto 0204-1</t>
        </is>
      </c>
      <c r="C13" s="34" t="n">
        <v>0.003201</v>
      </c>
      <c r="D13" s="12">
        <f>'Resumo Assembleia'!D29*C13</f>
        <v/>
      </c>
    </row>
    <row r="14">
      <c r="B14" s="8" t="inlineStr">
        <is>
          <t>Apto 0205-1</t>
        </is>
      </c>
      <c r="C14" s="34" t="n">
        <v>0.004226</v>
      </c>
      <c r="D14" s="12">
        <f>'Resumo Assembleia'!D29*C14</f>
        <v/>
      </c>
    </row>
    <row r="15">
      <c r="B15" s="8" t="inlineStr">
        <is>
          <t>Apto 0206-1</t>
        </is>
      </c>
      <c r="C15" s="34" t="n">
        <v>0.004226</v>
      </c>
      <c r="D15" s="12">
        <f>'Resumo Assembleia'!D29*C15</f>
        <v/>
      </c>
    </row>
    <row r="16">
      <c r="B16" s="8" t="inlineStr">
        <is>
          <t>Apto 0207-1</t>
        </is>
      </c>
      <c r="C16" s="34" t="n">
        <v>0.003201</v>
      </c>
      <c r="D16" s="12">
        <f>'Resumo Assembleia'!D29*C16</f>
        <v/>
      </c>
    </row>
    <row r="17">
      <c r="B17" s="8" t="inlineStr">
        <is>
          <t>Apto 0208-1</t>
        </is>
      </c>
      <c r="C17" s="34" t="n">
        <v>0.003388</v>
      </c>
      <c r="D17" s="12">
        <f>'Resumo Assembleia'!D29*C17</f>
        <v/>
      </c>
    </row>
    <row r="18">
      <c r="B18" s="8" t="inlineStr">
        <is>
          <t>Apto 0301-1</t>
        </is>
      </c>
      <c r="C18" s="34" t="n">
        <v>0.004226</v>
      </c>
      <c r="D18" s="12">
        <f>'Resumo Assembleia'!D29*C18</f>
        <v/>
      </c>
    </row>
    <row r="19">
      <c r="B19" s="8" t="inlineStr">
        <is>
          <t>Apto 0302-1</t>
        </is>
      </c>
      <c r="C19" s="34" t="n">
        <v>0.004226</v>
      </c>
      <c r="D19" s="12">
        <f>'Resumo Assembleia'!D29*C19</f>
        <v/>
      </c>
    </row>
    <row r="20">
      <c r="B20" s="8" t="inlineStr">
        <is>
          <t>Apto 0303-1</t>
        </is>
      </c>
      <c r="C20" s="34" t="n">
        <v>0.003388</v>
      </c>
      <c r="D20" s="12">
        <f>'Resumo Assembleia'!D29*C20</f>
        <v/>
      </c>
    </row>
    <row r="21">
      <c r="B21" s="8" t="inlineStr">
        <is>
          <t>Apto 0304-1</t>
        </is>
      </c>
      <c r="C21" s="34" t="n">
        <v>0.003201</v>
      </c>
      <c r="D21" s="12">
        <f>'Resumo Assembleia'!D29*C21</f>
        <v/>
      </c>
    </row>
    <row r="22">
      <c r="B22" s="8" t="inlineStr">
        <is>
          <t>Apto 0305-1</t>
        </is>
      </c>
      <c r="C22" s="34" t="n">
        <v>0.004226</v>
      </c>
      <c r="D22" s="12">
        <f>'Resumo Assembleia'!D29*C22</f>
        <v/>
      </c>
    </row>
    <row r="23">
      <c r="B23" s="8" t="inlineStr">
        <is>
          <t>Apto 0306-1</t>
        </is>
      </c>
      <c r="C23" s="34" t="n">
        <v>0.004226</v>
      </c>
      <c r="D23" s="12">
        <f>'Resumo Assembleia'!D29*C23</f>
        <v/>
      </c>
    </row>
    <row r="24">
      <c r="B24" s="8" t="inlineStr">
        <is>
          <t>Apto 0307-1</t>
        </is>
      </c>
      <c r="C24" s="34" t="n">
        <v>0.003201</v>
      </c>
      <c r="D24" s="12">
        <f>'Resumo Assembleia'!D29*C24</f>
        <v/>
      </c>
    </row>
    <row r="25">
      <c r="B25" s="8" t="inlineStr">
        <is>
          <t>Apto 0308-1</t>
        </is>
      </c>
      <c r="C25" s="34" t="n">
        <v>0.003388</v>
      </c>
      <c r="D25" s="12">
        <f>'Resumo Assembleia'!D29*C25</f>
        <v/>
      </c>
    </row>
    <row r="26">
      <c r="B26" s="8" t="inlineStr">
        <is>
          <t>Apto 0401-1</t>
        </is>
      </c>
      <c r="C26" s="34" t="n">
        <v>0.004226</v>
      </c>
      <c r="D26" s="12">
        <f>'Resumo Assembleia'!D29*C26</f>
        <v/>
      </c>
    </row>
    <row r="27">
      <c r="B27" s="8" t="inlineStr">
        <is>
          <t>Apto 0402-1</t>
        </is>
      </c>
      <c r="C27" s="34" t="n">
        <v>0.004226</v>
      </c>
      <c r="D27" s="12">
        <f>'Resumo Assembleia'!D29*C27</f>
        <v/>
      </c>
    </row>
    <row r="28">
      <c r="B28" s="8" t="inlineStr">
        <is>
          <t>Apto 0403-1</t>
        </is>
      </c>
      <c r="C28" s="34" t="n">
        <v>0.003388</v>
      </c>
      <c r="D28" s="12">
        <f>'Resumo Assembleia'!D29*C28</f>
        <v/>
      </c>
    </row>
    <row r="29">
      <c r="B29" s="8" t="inlineStr">
        <is>
          <t>Apto 0404-1</t>
        </is>
      </c>
      <c r="C29" s="34" t="n">
        <v>0.003201</v>
      </c>
      <c r="D29" s="12">
        <f>'Resumo Assembleia'!D29*C29</f>
        <v/>
      </c>
    </row>
    <row r="30">
      <c r="B30" s="8" t="inlineStr">
        <is>
          <t>Apto 0405-1</t>
        </is>
      </c>
      <c r="C30" s="34" t="n">
        <v>0.004226</v>
      </c>
      <c r="D30" s="12">
        <f>'Resumo Assembleia'!D29*C30</f>
        <v/>
      </c>
    </row>
    <row r="31">
      <c r="B31" s="8" t="inlineStr">
        <is>
          <t>Apto 0406-1</t>
        </is>
      </c>
      <c r="C31" s="34" t="n">
        <v>0.004226</v>
      </c>
      <c r="D31" s="12">
        <f>'Resumo Assembleia'!D29*C31</f>
        <v/>
      </c>
    </row>
    <row r="32">
      <c r="B32" s="8" t="inlineStr">
        <is>
          <t>Apto 0407-1</t>
        </is>
      </c>
      <c r="C32" s="34" t="n">
        <v>0.003201</v>
      </c>
      <c r="D32" s="12">
        <f>'Resumo Assembleia'!D29*C32</f>
        <v/>
      </c>
    </row>
    <row r="33">
      <c r="B33" s="8" t="inlineStr">
        <is>
          <t>Apto 0408-1</t>
        </is>
      </c>
      <c r="C33" s="34" t="n">
        <v>0.003388</v>
      </c>
      <c r="D33" s="12">
        <f>'Resumo Assembleia'!D29*C33</f>
        <v/>
      </c>
    </row>
    <row r="34">
      <c r="B34" s="8" t="inlineStr">
        <is>
          <t>Apto 0501-1</t>
        </is>
      </c>
      <c r="C34" s="34" t="n">
        <v>0.004226</v>
      </c>
      <c r="D34" s="12">
        <f>'Resumo Assembleia'!D29*C34</f>
        <v/>
      </c>
    </row>
    <row r="35">
      <c r="B35" s="8" t="inlineStr">
        <is>
          <t>Apto 0502-1</t>
        </is>
      </c>
      <c r="C35" s="34" t="n">
        <v>0.004226</v>
      </c>
      <c r="D35" s="12">
        <f>'Resumo Assembleia'!D29*C35</f>
        <v/>
      </c>
    </row>
    <row r="36">
      <c r="B36" s="8" t="inlineStr">
        <is>
          <t>Apto 0503-1</t>
        </is>
      </c>
      <c r="C36" s="34" t="n">
        <v>0.003388</v>
      </c>
      <c r="D36" s="12">
        <f>'Resumo Assembleia'!D29*C36</f>
        <v/>
      </c>
    </row>
    <row r="37">
      <c r="B37" s="8" t="inlineStr">
        <is>
          <t>Apto 0504-1</t>
        </is>
      </c>
      <c r="C37" s="34" t="n">
        <v>0.003201</v>
      </c>
      <c r="D37" s="12">
        <f>'Resumo Assembleia'!D29*C37</f>
        <v/>
      </c>
    </row>
    <row r="38">
      <c r="B38" s="8" t="inlineStr">
        <is>
          <t>Apto 0505-1</t>
        </is>
      </c>
      <c r="C38" s="34" t="n">
        <v>0.004226</v>
      </c>
      <c r="D38" s="12">
        <f>'Resumo Assembleia'!D29*C38</f>
        <v/>
      </c>
    </row>
    <row r="39">
      <c r="B39" s="8" t="inlineStr">
        <is>
          <t>Apto 0506-1</t>
        </is>
      </c>
      <c r="C39" s="34" t="n">
        <v>0.004226</v>
      </c>
      <c r="D39" s="12">
        <f>'Resumo Assembleia'!D29*C39</f>
        <v/>
      </c>
    </row>
    <row r="40">
      <c r="B40" s="8" t="inlineStr">
        <is>
          <t>Apto 0507-1</t>
        </is>
      </c>
      <c r="C40" s="34" t="n">
        <v>0.003201</v>
      </c>
      <c r="D40" s="12">
        <f>'Resumo Assembleia'!D29*C40</f>
        <v/>
      </c>
    </row>
    <row r="41">
      <c r="B41" s="8" t="inlineStr">
        <is>
          <t>Apto 0508-1</t>
        </is>
      </c>
      <c r="C41" s="34" t="n">
        <v>0.003388</v>
      </c>
      <c r="D41" s="12">
        <f>'Resumo Assembleia'!D29*C41</f>
        <v/>
      </c>
    </row>
    <row r="42">
      <c r="B42" s="8" t="inlineStr">
        <is>
          <t>Apto 0601-1</t>
        </is>
      </c>
      <c r="C42" s="34" t="n">
        <v>0.004226</v>
      </c>
      <c r="D42" s="12">
        <f>'Resumo Assembleia'!D29*C42</f>
        <v/>
      </c>
    </row>
    <row r="43">
      <c r="B43" s="8" t="inlineStr">
        <is>
          <t>Apto 0602-1</t>
        </is>
      </c>
      <c r="C43" s="34" t="n">
        <v>0.004226</v>
      </c>
      <c r="D43" s="12">
        <f>'Resumo Assembleia'!D29*C43</f>
        <v/>
      </c>
    </row>
    <row r="44">
      <c r="B44" s="8" t="inlineStr">
        <is>
          <t>Apto 0603-1</t>
        </is>
      </c>
      <c r="C44" s="34" t="n">
        <v>0.003388</v>
      </c>
      <c r="D44" s="12">
        <f>'Resumo Assembleia'!D29*C44</f>
        <v/>
      </c>
    </row>
    <row r="45">
      <c r="B45" s="8" t="inlineStr">
        <is>
          <t>Apto 0604-1</t>
        </is>
      </c>
      <c r="C45" s="34" t="n">
        <v>0.003201</v>
      </c>
      <c r="D45" s="12">
        <f>'Resumo Assembleia'!D29*C45</f>
        <v/>
      </c>
    </row>
    <row r="46">
      <c r="B46" s="8" t="inlineStr">
        <is>
          <t>Apto 0605-1</t>
        </is>
      </c>
      <c r="C46" s="34" t="n">
        <v>0.004226</v>
      </c>
      <c r="D46" s="12">
        <f>'Resumo Assembleia'!D29*C46</f>
        <v/>
      </c>
    </row>
    <row r="47">
      <c r="B47" s="8" t="inlineStr">
        <is>
          <t>Apto 0606-1</t>
        </is>
      </c>
      <c r="C47" s="34" t="n">
        <v>0.004226</v>
      </c>
      <c r="D47" s="12">
        <f>'Resumo Assembleia'!D29*C47</f>
        <v/>
      </c>
    </row>
    <row r="48">
      <c r="B48" s="8" t="inlineStr">
        <is>
          <t>Apto 0607-1</t>
        </is>
      </c>
      <c r="C48" s="34" t="n">
        <v>0.003201</v>
      </c>
      <c r="D48" s="12">
        <f>'Resumo Assembleia'!D29*C48</f>
        <v/>
      </c>
    </row>
    <row r="49">
      <c r="B49" s="8" t="inlineStr">
        <is>
          <t>Apto 0608-1</t>
        </is>
      </c>
      <c r="C49" s="34" t="n">
        <v>0.003388</v>
      </c>
      <c r="D49" s="12">
        <f>'Resumo Assembleia'!D29*C49</f>
        <v/>
      </c>
    </row>
    <row r="50">
      <c r="B50" s="8" t="inlineStr">
        <is>
          <t>Apto 0701-1</t>
        </is>
      </c>
      <c r="C50" s="34" t="n">
        <v>0.004226</v>
      </c>
      <c r="D50" s="12">
        <f>'Resumo Assembleia'!D29*C50</f>
        <v/>
      </c>
    </row>
    <row r="51">
      <c r="B51" s="8" t="inlineStr">
        <is>
          <t>Apto 0702-1</t>
        </is>
      </c>
      <c r="C51" s="34" t="n">
        <v>0.004226</v>
      </c>
      <c r="D51" s="12">
        <f>'Resumo Assembleia'!D29*C51</f>
        <v/>
      </c>
    </row>
    <row r="52">
      <c r="B52" s="8" t="inlineStr">
        <is>
          <t>Apto 0703-1</t>
        </is>
      </c>
      <c r="C52" s="34" t="n">
        <v>0.003388</v>
      </c>
      <c r="D52" s="12">
        <f>'Resumo Assembleia'!D29*C52</f>
        <v/>
      </c>
    </row>
    <row r="53">
      <c r="B53" s="8" t="inlineStr">
        <is>
          <t>Apto 0704-1</t>
        </is>
      </c>
      <c r="C53" s="34" t="n">
        <v>0.003201</v>
      </c>
      <c r="D53" s="12">
        <f>'Resumo Assembleia'!D29*C53</f>
        <v/>
      </c>
    </row>
    <row r="54">
      <c r="B54" s="8" t="inlineStr">
        <is>
          <t>Apto 0705-1</t>
        </is>
      </c>
      <c r="C54" s="34" t="n">
        <v>0.004226</v>
      </c>
      <c r="D54" s="12">
        <f>'Resumo Assembleia'!D29*C54</f>
        <v/>
      </c>
    </row>
    <row r="55">
      <c r="B55" s="8" t="inlineStr">
        <is>
          <t>Apto 0706-1</t>
        </is>
      </c>
      <c r="C55" s="34" t="n">
        <v>0.004226</v>
      </c>
      <c r="D55" s="12">
        <f>'Resumo Assembleia'!D29*C55</f>
        <v/>
      </c>
    </row>
    <row r="56">
      <c r="B56" s="8" t="inlineStr">
        <is>
          <t>Apto 0707-1</t>
        </is>
      </c>
      <c r="C56" s="34" t="n">
        <v>0.003201</v>
      </c>
      <c r="D56" s="12">
        <f>'Resumo Assembleia'!D29*C56</f>
        <v/>
      </c>
    </row>
    <row r="57">
      <c r="B57" s="8" t="inlineStr">
        <is>
          <t>Apto 0708-1</t>
        </is>
      </c>
      <c r="C57" s="34" t="n">
        <v>0.003388</v>
      </c>
      <c r="D57" s="12">
        <f>'Resumo Assembleia'!D29*C57</f>
        <v/>
      </c>
    </row>
    <row r="58">
      <c r="B58" s="8" t="inlineStr">
        <is>
          <t>Apto 0801-1</t>
        </is>
      </c>
      <c r="C58" s="34" t="n">
        <v>0.004226</v>
      </c>
      <c r="D58" s="12">
        <f>'Resumo Assembleia'!D29*C58</f>
        <v/>
      </c>
    </row>
    <row r="59">
      <c r="B59" s="8" t="inlineStr">
        <is>
          <t>Apto 0802-1</t>
        </is>
      </c>
      <c r="C59" s="34" t="n">
        <v>0.004226</v>
      </c>
      <c r="D59" s="12">
        <f>'Resumo Assembleia'!D29*C59</f>
        <v/>
      </c>
    </row>
    <row r="60">
      <c r="B60" s="8" t="inlineStr">
        <is>
          <t>Apto 0803-1</t>
        </is>
      </c>
      <c r="C60" s="34" t="n">
        <v>0.003535</v>
      </c>
      <c r="D60" s="12">
        <f>'Resumo Assembleia'!D29*C60</f>
        <v/>
      </c>
    </row>
    <row r="61">
      <c r="B61" s="8" t="inlineStr">
        <is>
          <t>Apto 0804-1</t>
        </is>
      </c>
      <c r="C61" s="34" t="n">
        <v>0.003201</v>
      </c>
      <c r="D61" s="12">
        <f>'Resumo Assembleia'!D29*C61</f>
        <v/>
      </c>
    </row>
    <row r="62">
      <c r="B62" s="8" t="inlineStr">
        <is>
          <t>Apto 0805-1</t>
        </is>
      </c>
      <c r="C62" s="34" t="n">
        <v>0.004226</v>
      </c>
      <c r="D62" s="12">
        <f>'Resumo Assembleia'!D29*C62</f>
        <v/>
      </c>
    </row>
    <row r="63">
      <c r="B63" s="8" t="inlineStr">
        <is>
          <t>Apto 0806-1</t>
        </is>
      </c>
      <c r="C63" s="34" t="n">
        <v>0.004226</v>
      </c>
      <c r="D63" s="12">
        <f>'Resumo Assembleia'!D29*C63</f>
        <v/>
      </c>
    </row>
    <row r="64">
      <c r="B64" s="8" t="inlineStr">
        <is>
          <t>Apto 0807-1</t>
        </is>
      </c>
      <c r="C64" s="34" t="n">
        <v>0.003201</v>
      </c>
      <c r="D64" s="12">
        <f>'Resumo Assembleia'!D29*C64</f>
        <v/>
      </c>
    </row>
    <row r="65">
      <c r="B65" s="8" t="inlineStr">
        <is>
          <t>Apto 0808-1</t>
        </is>
      </c>
      <c r="C65" s="34" t="n">
        <v>0.003535</v>
      </c>
      <c r="D65" s="12">
        <f>'Resumo Assembleia'!D29*C65</f>
        <v/>
      </c>
    </row>
    <row r="66">
      <c r="B66" s="8" t="inlineStr">
        <is>
          <t>Apto 0901-1</t>
        </is>
      </c>
      <c r="C66" s="34" t="n">
        <v>0.004226</v>
      </c>
      <c r="D66" s="12">
        <f>'Resumo Assembleia'!D29*C66</f>
        <v/>
      </c>
    </row>
    <row r="67">
      <c r="B67" s="8" t="inlineStr">
        <is>
          <t>Apto 0902-1</t>
        </is>
      </c>
      <c r="C67" s="34" t="n">
        <v>0.004226</v>
      </c>
      <c r="D67" s="12">
        <f>'Resumo Assembleia'!D29*C67</f>
        <v/>
      </c>
    </row>
    <row r="68">
      <c r="B68" s="8" t="inlineStr">
        <is>
          <t>Apto 0903-1</t>
        </is>
      </c>
      <c r="C68" s="34" t="n">
        <v>0.003535</v>
      </c>
      <c r="D68" s="12">
        <f>'Resumo Assembleia'!D29*C68</f>
        <v/>
      </c>
    </row>
    <row r="69">
      <c r="B69" s="8" t="inlineStr">
        <is>
          <t>Apto 0904-1</t>
        </is>
      </c>
      <c r="C69" s="34" t="n">
        <v>0.003201</v>
      </c>
      <c r="D69" s="12">
        <f>'Resumo Assembleia'!D29*C69</f>
        <v/>
      </c>
    </row>
    <row r="70">
      <c r="B70" s="8" t="inlineStr">
        <is>
          <t>Apto 0905-1</t>
        </is>
      </c>
      <c r="C70" s="34" t="n">
        <v>0.004226</v>
      </c>
      <c r="D70" s="12">
        <f>'Resumo Assembleia'!D29*C70</f>
        <v/>
      </c>
    </row>
    <row r="71">
      <c r="B71" s="8" t="inlineStr">
        <is>
          <t>Apto 0906-1</t>
        </is>
      </c>
      <c r="C71" s="34" t="n">
        <v>0.004226</v>
      </c>
      <c r="D71" s="12">
        <f>'Resumo Assembleia'!D29*C71</f>
        <v/>
      </c>
    </row>
    <row r="72">
      <c r="B72" s="8" t="inlineStr">
        <is>
          <t>Apto 0907-1</t>
        </is>
      </c>
      <c r="C72" s="34" t="n">
        <v>0.003201</v>
      </c>
      <c r="D72" s="12">
        <f>'Resumo Assembleia'!D29*C72</f>
        <v/>
      </c>
    </row>
    <row r="73">
      <c r="B73" s="8" t="inlineStr">
        <is>
          <t>Apto 0908-1</t>
        </is>
      </c>
      <c r="C73" s="34" t="n">
        <v>0.003535</v>
      </c>
      <c r="D73" s="12">
        <f>'Resumo Assembleia'!D29*C73</f>
        <v/>
      </c>
    </row>
    <row r="74">
      <c r="B74" s="8" t="inlineStr">
        <is>
          <t>Apto 1001-1</t>
        </is>
      </c>
      <c r="C74" s="34" t="n">
        <v>0.004517</v>
      </c>
      <c r="D74" s="12">
        <f>'Resumo Assembleia'!D29*C74</f>
        <v/>
      </c>
    </row>
    <row r="75">
      <c r="B75" s="8" t="inlineStr">
        <is>
          <t>Apto 1002-1</t>
        </is>
      </c>
      <c r="C75" s="34" t="n">
        <v>0.004226</v>
      </c>
      <c r="D75" s="12">
        <f>'Resumo Assembleia'!D29*C75</f>
        <v/>
      </c>
    </row>
    <row r="76">
      <c r="B76" s="8" t="inlineStr">
        <is>
          <t>Apto 1003-1</t>
        </is>
      </c>
      <c r="C76" s="34" t="n">
        <v>0.003388</v>
      </c>
      <c r="D76" s="12">
        <f>'Resumo Assembleia'!D29*C76</f>
        <v/>
      </c>
    </row>
    <row r="77">
      <c r="B77" s="8" t="inlineStr">
        <is>
          <t>Apto 1004-1</t>
        </is>
      </c>
      <c r="C77" s="34" t="n">
        <v>0.003201</v>
      </c>
      <c r="D77" s="12">
        <f>'Resumo Assembleia'!D29*C77</f>
        <v/>
      </c>
    </row>
    <row r="78">
      <c r="B78" s="8" t="inlineStr">
        <is>
          <t>Apto 1005-1</t>
        </is>
      </c>
      <c r="C78" s="34" t="n">
        <v>0.004226</v>
      </c>
      <c r="D78" s="12">
        <f>'Resumo Assembleia'!D29*C78</f>
        <v/>
      </c>
    </row>
    <row r="79">
      <c r="B79" s="8" t="inlineStr">
        <is>
          <t>Apto 1006-1</t>
        </is>
      </c>
      <c r="C79" s="34" t="n">
        <v>0.004517</v>
      </c>
      <c r="D79" s="12">
        <f>'Resumo Assembleia'!D29*C79</f>
        <v/>
      </c>
    </row>
    <row r="80">
      <c r="B80" s="8" t="inlineStr">
        <is>
          <t>Apto 1007-1</t>
        </is>
      </c>
      <c r="C80" s="34" t="n">
        <v>0.003201</v>
      </c>
      <c r="D80" s="12">
        <f>'Resumo Assembleia'!D29*C80</f>
        <v/>
      </c>
    </row>
    <row r="81">
      <c r="B81" s="8" t="inlineStr">
        <is>
          <t>Apto 1008-1</t>
        </is>
      </c>
      <c r="C81" s="34" t="n">
        <v>0.003388</v>
      </c>
      <c r="D81" s="12">
        <f>'Resumo Assembleia'!D29*C81</f>
        <v/>
      </c>
    </row>
    <row r="82">
      <c r="B82" s="8" t="inlineStr">
        <is>
          <t>Apto 1101-1</t>
        </is>
      </c>
      <c r="C82" s="34" t="n">
        <v>0.004517</v>
      </c>
      <c r="D82" s="12">
        <f>'Resumo Assembleia'!D29*C82</f>
        <v/>
      </c>
    </row>
    <row r="83">
      <c r="B83" s="8" t="inlineStr">
        <is>
          <t>Apto 1102-1</t>
        </is>
      </c>
      <c r="C83" s="34" t="n">
        <v>0.004517</v>
      </c>
      <c r="D83" s="12">
        <f>'Resumo Assembleia'!D29*C83</f>
        <v/>
      </c>
    </row>
    <row r="84">
      <c r="B84" s="8" t="inlineStr">
        <is>
          <t>Apto 1103-1</t>
        </is>
      </c>
      <c r="C84" s="34" t="n">
        <v>0.003535</v>
      </c>
      <c r="D84" s="12">
        <f>'Resumo Assembleia'!D29*C84</f>
        <v/>
      </c>
    </row>
    <row r="85">
      <c r="B85" s="8" t="inlineStr">
        <is>
          <t>Apto 1104-1</t>
        </is>
      </c>
      <c r="C85" s="34" t="n">
        <v>0.003201</v>
      </c>
      <c r="D85" s="12">
        <f>'Resumo Assembleia'!D29*C85</f>
        <v/>
      </c>
    </row>
    <row r="86">
      <c r="B86" s="8" t="inlineStr">
        <is>
          <t>Apto 1105-1</t>
        </is>
      </c>
      <c r="C86" s="34" t="n">
        <v>0.004517</v>
      </c>
      <c r="D86" s="12">
        <f>'Resumo Assembleia'!D29*C86</f>
        <v/>
      </c>
    </row>
    <row r="87">
      <c r="B87" s="8" t="inlineStr">
        <is>
          <t>Apto 1106-1</t>
        </is>
      </c>
      <c r="C87" s="34" t="n">
        <v>0.004517</v>
      </c>
      <c r="D87" s="12">
        <f>'Resumo Assembleia'!D29*C87</f>
        <v/>
      </c>
    </row>
    <row r="88">
      <c r="B88" s="8" t="inlineStr">
        <is>
          <t>Apto 1107-1</t>
        </is>
      </c>
      <c r="C88" s="34" t="n">
        <v>0.003201</v>
      </c>
      <c r="D88" s="12">
        <f>'Resumo Assembleia'!D29*C88</f>
        <v/>
      </c>
    </row>
    <row r="89">
      <c r="B89" s="8" t="inlineStr">
        <is>
          <t>Apto 1108-1</t>
        </is>
      </c>
      <c r="C89" s="34" t="n">
        <v>0.003535</v>
      </c>
      <c r="D89" s="12">
        <f>'Resumo Assembleia'!D29*C89</f>
        <v/>
      </c>
    </row>
    <row r="90">
      <c r="B90" s="8" t="inlineStr">
        <is>
          <t>Apto 0101-2</t>
        </is>
      </c>
      <c r="C90" s="34" t="n">
        <v>0.004226</v>
      </c>
      <c r="D90" s="12">
        <f>'Resumo Assembleia'!D29*C90</f>
        <v/>
      </c>
    </row>
    <row r="91">
      <c r="B91" s="8" t="inlineStr">
        <is>
          <t>Apto 0102-2</t>
        </is>
      </c>
      <c r="C91" s="34" t="n">
        <v>0.004079999999999999</v>
      </c>
      <c r="D91" s="12">
        <f>'Resumo Assembleia'!D29*C91</f>
        <v/>
      </c>
    </row>
    <row r="92">
      <c r="B92" s="8" t="inlineStr">
        <is>
          <t>Apto 0103-2</t>
        </is>
      </c>
      <c r="C92" s="34" t="n">
        <v>0.003388</v>
      </c>
      <c r="D92" s="12">
        <f>'Resumo Assembleia'!D29*C92</f>
        <v/>
      </c>
    </row>
    <row r="93">
      <c r="B93" s="8" t="inlineStr">
        <is>
          <t>Apto 0104-2</t>
        </is>
      </c>
      <c r="C93" s="34" t="n">
        <v>0.003201</v>
      </c>
      <c r="D93" s="12">
        <f>'Resumo Assembleia'!D29*C93</f>
        <v/>
      </c>
    </row>
    <row r="94">
      <c r="B94" s="8" t="inlineStr">
        <is>
          <t>Apto 0105-2</t>
        </is>
      </c>
      <c r="C94" s="34" t="n">
        <v>0.004226</v>
      </c>
      <c r="D94" s="12">
        <f>'Resumo Assembleia'!D29*C94</f>
        <v/>
      </c>
    </row>
    <row r="95">
      <c r="B95" s="8" t="inlineStr">
        <is>
          <t>Apto 0106-2</t>
        </is>
      </c>
      <c r="C95" s="34" t="n">
        <v>0.004079999999999999</v>
      </c>
      <c r="D95" s="12">
        <f>'Resumo Assembleia'!D29*C95</f>
        <v/>
      </c>
    </row>
    <row r="96">
      <c r="B96" s="8" t="inlineStr">
        <is>
          <t>Apto 0107-2</t>
        </is>
      </c>
      <c r="C96" s="34" t="n">
        <v>0.003201</v>
      </c>
      <c r="D96" s="12">
        <f>'Resumo Assembleia'!D29*C96</f>
        <v/>
      </c>
    </row>
    <row r="97">
      <c r="B97" s="8" t="inlineStr">
        <is>
          <t>Apto 0108-2</t>
        </is>
      </c>
      <c r="C97" s="34" t="n">
        <v>0.003388</v>
      </c>
      <c r="D97" s="12">
        <f>'Resumo Assembleia'!D29*C97</f>
        <v/>
      </c>
    </row>
    <row r="98">
      <c r="B98" s="8" t="inlineStr">
        <is>
          <t>Apto 0201-2</t>
        </is>
      </c>
      <c r="C98" s="34" t="n">
        <v>0.004226</v>
      </c>
      <c r="D98" s="12">
        <f>'Resumo Assembleia'!D29*C98</f>
        <v/>
      </c>
    </row>
    <row r="99">
      <c r="B99" s="8" t="inlineStr">
        <is>
          <t>Apto 0202-2</t>
        </is>
      </c>
      <c r="C99" s="34" t="n">
        <v>0.004226</v>
      </c>
      <c r="D99" s="12">
        <f>'Resumo Assembleia'!D29*C99</f>
        <v/>
      </c>
    </row>
    <row r="100">
      <c r="B100" s="8" t="inlineStr">
        <is>
          <t>Apto 0203-2</t>
        </is>
      </c>
      <c r="C100" s="34" t="n">
        <v>0.003388</v>
      </c>
      <c r="D100" s="12">
        <f>'Resumo Assembleia'!D29*C100</f>
        <v/>
      </c>
    </row>
    <row r="101">
      <c r="B101" s="8" t="inlineStr">
        <is>
          <t>Apto 0204-2</t>
        </is>
      </c>
      <c r="C101" s="34" t="n">
        <v>0.003201</v>
      </c>
      <c r="D101" s="12">
        <f>'Resumo Assembleia'!D29*C101</f>
        <v/>
      </c>
    </row>
    <row r="102">
      <c r="B102" s="8" t="inlineStr">
        <is>
          <t>Apto 0205-2</t>
        </is>
      </c>
      <c r="C102" s="34" t="n">
        <v>0.004226</v>
      </c>
      <c r="D102" s="12">
        <f>'Resumo Assembleia'!D29*C102</f>
        <v/>
      </c>
    </row>
    <row r="103">
      <c r="B103" s="8" t="inlineStr">
        <is>
          <t>Apto 0206-2</t>
        </is>
      </c>
      <c r="C103" s="34" t="n">
        <v>0.004226</v>
      </c>
      <c r="D103" s="12">
        <f>'Resumo Assembleia'!D29*C103</f>
        <v/>
      </c>
    </row>
    <row r="104">
      <c r="B104" s="8" t="inlineStr">
        <is>
          <t>Apto 0207-2</t>
        </is>
      </c>
      <c r="C104" s="34" t="n">
        <v>0.003201</v>
      </c>
      <c r="D104" s="12">
        <f>'Resumo Assembleia'!D29*C104</f>
        <v/>
      </c>
    </row>
    <row r="105">
      <c r="B105" s="8" t="inlineStr">
        <is>
          <t>Apto 0208-2</t>
        </is>
      </c>
      <c r="C105" s="34" t="n">
        <v>0.003388</v>
      </c>
      <c r="D105" s="12">
        <f>'Resumo Assembleia'!D29*C105</f>
        <v/>
      </c>
    </row>
    <row r="106">
      <c r="B106" s="8" t="inlineStr">
        <is>
          <t>Apto 0301-2</t>
        </is>
      </c>
      <c r="C106" s="34" t="n">
        <v>0.004226</v>
      </c>
      <c r="D106" s="12">
        <f>'Resumo Assembleia'!D29*C106</f>
        <v/>
      </c>
    </row>
    <row r="107">
      <c r="B107" s="8" t="inlineStr">
        <is>
          <t>Apto 0302-2</t>
        </is>
      </c>
      <c r="C107" s="34" t="n">
        <v>0.004226</v>
      </c>
      <c r="D107" s="12">
        <f>'Resumo Assembleia'!D29*C107</f>
        <v/>
      </c>
    </row>
    <row r="108">
      <c r="B108" s="8" t="inlineStr">
        <is>
          <t>Apto 0303-2</t>
        </is>
      </c>
      <c r="C108" s="34" t="n">
        <v>0.003388</v>
      </c>
      <c r="D108" s="12">
        <f>'Resumo Assembleia'!D29*C108</f>
        <v/>
      </c>
    </row>
    <row r="109">
      <c r="B109" s="8" t="inlineStr">
        <is>
          <t>Apto 0304-2</t>
        </is>
      </c>
      <c r="C109" s="34" t="n">
        <v>0.003201</v>
      </c>
      <c r="D109" s="12">
        <f>'Resumo Assembleia'!D29*C109</f>
        <v/>
      </c>
    </row>
    <row r="110">
      <c r="B110" s="8" t="inlineStr">
        <is>
          <t>Apto 0305-2</t>
        </is>
      </c>
      <c r="C110" s="34" t="n">
        <v>0.004226</v>
      </c>
      <c r="D110" s="12">
        <f>'Resumo Assembleia'!D29*C110</f>
        <v/>
      </c>
    </row>
    <row r="111">
      <c r="B111" s="8" t="inlineStr">
        <is>
          <t>Apto 0306-2</t>
        </is>
      </c>
      <c r="C111" s="34" t="n">
        <v>0.004226</v>
      </c>
      <c r="D111" s="12">
        <f>'Resumo Assembleia'!D29*C111</f>
        <v/>
      </c>
    </row>
    <row r="112">
      <c r="B112" s="8" t="inlineStr">
        <is>
          <t>Apto 0307-2</t>
        </is>
      </c>
      <c r="C112" s="34" t="n">
        <v>0.003201</v>
      </c>
      <c r="D112" s="12">
        <f>'Resumo Assembleia'!D29*C112</f>
        <v/>
      </c>
    </row>
    <row r="113">
      <c r="B113" s="8" t="inlineStr">
        <is>
          <t>Apto 0308-2</t>
        </is>
      </c>
      <c r="C113" s="34" t="n">
        <v>0.003388</v>
      </c>
      <c r="D113" s="12">
        <f>'Resumo Assembleia'!D29*C113</f>
        <v/>
      </c>
    </row>
    <row r="114">
      <c r="B114" s="8" t="inlineStr">
        <is>
          <t>Apto 0401-2</t>
        </is>
      </c>
      <c r="C114" s="34" t="n">
        <v>0.004226</v>
      </c>
      <c r="D114" s="12">
        <f>'Resumo Assembleia'!D29*C114</f>
        <v/>
      </c>
    </row>
    <row r="115">
      <c r="B115" s="8" t="inlineStr">
        <is>
          <t>Apto 0402-2</t>
        </is>
      </c>
      <c r="C115" s="34" t="n">
        <v>0.004226</v>
      </c>
      <c r="D115" s="12">
        <f>'Resumo Assembleia'!D29*C115</f>
        <v/>
      </c>
    </row>
    <row r="116">
      <c r="B116" s="8" t="inlineStr">
        <is>
          <t>Apto 0403-2</t>
        </is>
      </c>
      <c r="C116" s="34" t="n">
        <v>0.003388</v>
      </c>
      <c r="D116" s="12">
        <f>'Resumo Assembleia'!D29*C116</f>
        <v/>
      </c>
    </row>
    <row r="117">
      <c r="B117" s="8" t="inlineStr">
        <is>
          <t>Apto 0404-2</t>
        </is>
      </c>
      <c r="C117" s="34" t="n">
        <v>0.003201</v>
      </c>
      <c r="D117" s="12">
        <f>'Resumo Assembleia'!D29*C117</f>
        <v/>
      </c>
    </row>
    <row r="118">
      <c r="B118" s="8" t="inlineStr">
        <is>
          <t>Apto 0405-2</t>
        </is>
      </c>
      <c r="C118" s="34" t="n">
        <v>0.004226</v>
      </c>
      <c r="D118" s="12">
        <f>'Resumo Assembleia'!D29*C118</f>
        <v/>
      </c>
    </row>
    <row r="119">
      <c r="B119" s="8" t="inlineStr">
        <is>
          <t>Apto 0406-2</t>
        </is>
      </c>
      <c r="C119" s="34" t="n">
        <v>0.004226</v>
      </c>
      <c r="D119" s="12">
        <f>'Resumo Assembleia'!D29*C119</f>
        <v/>
      </c>
    </row>
    <row r="120">
      <c r="B120" s="8" t="inlineStr">
        <is>
          <t>Apto 0407-2</t>
        </is>
      </c>
      <c r="C120" s="34" t="n">
        <v>0.003201</v>
      </c>
      <c r="D120" s="12">
        <f>'Resumo Assembleia'!D29*C120</f>
        <v/>
      </c>
    </row>
    <row r="121">
      <c r="B121" s="8" t="inlineStr">
        <is>
          <t>Apto 0408-2</t>
        </is>
      </c>
      <c r="C121" s="34" t="n">
        <v>0.003388</v>
      </c>
      <c r="D121" s="12">
        <f>'Resumo Assembleia'!D29*C121</f>
        <v/>
      </c>
    </row>
    <row r="122">
      <c r="B122" s="8" t="inlineStr">
        <is>
          <t>Apto 0501-2</t>
        </is>
      </c>
      <c r="C122" s="34" t="n">
        <v>0.004226</v>
      </c>
      <c r="D122" s="12">
        <f>'Resumo Assembleia'!D29*C122</f>
        <v/>
      </c>
    </row>
    <row r="123">
      <c r="B123" s="8" t="inlineStr">
        <is>
          <t>Apto 0502-2</t>
        </is>
      </c>
      <c r="C123" s="34" t="n">
        <v>0.004226</v>
      </c>
      <c r="D123" s="12">
        <f>'Resumo Assembleia'!D29*C123</f>
        <v/>
      </c>
    </row>
    <row r="124">
      <c r="B124" s="8" t="inlineStr">
        <is>
          <t>Apto 0503-2</t>
        </is>
      </c>
      <c r="C124" s="34" t="n">
        <v>0.003388</v>
      </c>
      <c r="D124" s="12">
        <f>'Resumo Assembleia'!D29*C124</f>
        <v/>
      </c>
    </row>
    <row r="125">
      <c r="B125" s="8" t="inlineStr">
        <is>
          <t>Apto 0504-2</t>
        </is>
      </c>
      <c r="C125" s="34" t="n">
        <v>0.003201</v>
      </c>
      <c r="D125" s="12">
        <f>'Resumo Assembleia'!D29*C125</f>
        <v/>
      </c>
    </row>
    <row r="126">
      <c r="B126" s="8" t="inlineStr">
        <is>
          <t>Apto 0505-2</t>
        </is>
      </c>
      <c r="C126" s="34" t="n">
        <v>0.004226</v>
      </c>
      <c r="D126" s="12">
        <f>'Resumo Assembleia'!D29*C126</f>
        <v/>
      </c>
    </row>
    <row r="127">
      <c r="B127" s="8" t="inlineStr">
        <is>
          <t>Apto 0506-2</t>
        </is>
      </c>
      <c r="C127" s="34" t="n">
        <v>0.004226</v>
      </c>
      <c r="D127" s="12">
        <f>'Resumo Assembleia'!D29*C127</f>
        <v/>
      </c>
    </row>
    <row r="128">
      <c r="B128" s="8" t="inlineStr">
        <is>
          <t>Apto 0507-2</t>
        </is>
      </c>
      <c r="C128" s="34" t="n">
        <v>0.003201</v>
      </c>
      <c r="D128" s="12">
        <f>'Resumo Assembleia'!D29*C128</f>
        <v/>
      </c>
    </row>
    <row r="129">
      <c r="B129" s="8" t="inlineStr">
        <is>
          <t>Apto 0508-2</t>
        </is>
      </c>
      <c r="C129" s="34" t="n">
        <v>0.003388</v>
      </c>
      <c r="D129" s="12">
        <f>'Resumo Assembleia'!D29*C129</f>
        <v/>
      </c>
    </row>
    <row r="130">
      <c r="B130" s="8" t="inlineStr">
        <is>
          <t>Apto 0601-2</t>
        </is>
      </c>
      <c r="C130" s="34" t="n">
        <v>0.004226</v>
      </c>
      <c r="D130" s="12">
        <f>'Resumo Assembleia'!D29*C130</f>
        <v/>
      </c>
    </row>
    <row r="131">
      <c r="B131" s="8" t="inlineStr">
        <is>
          <t>Apto 0602-2</t>
        </is>
      </c>
      <c r="C131" s="34" t="n">
        <v>0.004226</v>
      </c>
      <c r="D131" s="12">
        <f>'Resumo Assembleia'!D29*C131</f>
        <v/>
      </c>
    </row>
    <row r="132">
      <c r="B132" s="8" t="inlineStr">
        <is>
          <t>Apto 0603-2</t>
        </is>
      </c>
      <c r="C132" s="34" t="n">
        <v>0.003388</v>
      </c>
      <c r="D132" s="12">
        <f>'Resumo Assembleia'!D29*C132</f>
        <v/>
      </c>
    </row>
    <row r="133">
      <c r="B133" s="8" t="inlineStr">
        <is>
          <t>Apto 0604-2</t>
        </is>
      </c>
      <c r="C133" s="34" t="n">
        <v>0.003201</v>
      </c>
      <c r="D133" s="12">
        <f>'Resumo Assembleia'!D29*C133</f>
        <v/>
      </c>
    </row>
    <row r="134">
      <c r="B134" s="8" t="inlineStr">
        <is>
          <t>Apto 0605-2</t>
        </is>
      </c>
      <c r="C134" s="34" t="n">
        <v>0.004226</v>
      </c>
      <c r="D134" s="12">
        <f>'Resumo Assembleia'!D29*C134</f>
        <v/>
      </c>
    </row>
    <row r="135">
      <c r="B135" s="8" t="inlineStr">
        <is>
          <t>Apto 0606-2</t>
        </is>
      </c>
      <c r="C135" s="34" t="n">
        <v>0.004226</v>
      </c>
      <c r="D135" s="12">
        <f>'Resumo Assembleia'!D29*C135</f>
        <v/>
      </c>
    </row>
    <row r="136">
      <c r="B136" s="8" t="inlineStr">
        <is>
          <t>Apto 0607-2</t>
        </is>
      </c>
      <c r="C136" s="34" t="n">
        <v>0.003201</v>
      </c>
      <c r="D136" s="12">
        <f>'Resumo Assembleia'!D29*C136</f>
        <v/>
      </c>
    </row>
    <row r="137">
      <c r="B137" s="8" t="inlineStr">
        <is>
          <t>Apto 0608-2</t>
        </is>
      </c>
      <c r="C137" s="34" t="n">
        <v>0.003388</v>
      </c>
      <c r="D137" s="12">
        <f>'Resumo Assembleia'!D29*C137</f>
        <v/>
      </c>
    </row>
    <row r="138">
      <c r="B138" s="8" t="inlineStr">
        <is>
          <t>Apto 0701-2</t>
        </is>
      </c>
      <c r="C138" s="34" t="n">
        <v>0.004226</v>
      </c>
      <c r="D138" s="12">
        <f>'Resumo Assembleia'!D29*C138</f>
        <v/>
      </c>
    </row>
    <row r="139">
      <c r="B139" s="8" t="inlineStr">
        <is>
          <t>Apto 0702-2</t>
        </is>
      </c>
      <c r="C139" s="34" t="n">
        <v>0.004226</v>
      </c>
      <c r="D139" s="12">
        <f>'Resumo Assembleia'!D29*C139</f>
        <v/>
      </c>
    </row>
    <row r="140">
      <c r="B140" s="8" t="inlineStr">
        <is>
          <t>Apto 0703-2</t>
        </is>
      </c>
      <c r="C140" s="34" t="n">
        <v>0.003388</v>
      </c>
      <c r="D140" s="12">
        <f>'Resumo Assembleia'!D29*C140</f>
        <v/>
      </c>
    </row>
    <row r="141">
      <c r="B141" s="8" t="inlineStr">
        <is>
          <t>Apto 0704-2</t>
        </is>
      </c>
      <c r="C141" s="34" t="n">
        <v>0.003201</v>
      </c>
      <c r="D141" s="12">
        <f>'Resumo Assembleia'!D29*C141</f>
        <v/>
      </c>
    </row>
    <row r="142">
      <c r="B142" s="8" t="inlineStr">
        <is>
          <t>Apto 0705-2</t>
        </is>
      </c>
      <c r="C142" s="34" t="n">
        <v>0.004226</v>
      </c>
      <c r="D142" s="12">
        <f>'Resumo Assembleia'!D29*C142</f>
        <v/>
      </c>
    </row>
    <row r="143">
      <c r="B143" s="8" t="inlineStr">
        <is>
          <t>Apto 0706-2</t>
        </is>
      </c>
      <c r="C143" s="34" t="n">
        <v>0.004226</v>
      </c>
      <c r="D143" s="12">
        <f>'Resumo Assembleia'!D29*C143</f>
        <v/>
      </c>
    </row>
    <row r="144">
      <c r="B144" s="8" t="inlineStr">
        <is>
          <t>Apto 0707-2</t>
        </is>
      </c>
      <c r="C144" s="34" t="n">
        <v>0.003201</v>
      </c>
      <c r="D144" s="12">
        <f>'Resumo Assembleia'!D29*C144</f>
        <v/>
      </c>
    </row>
    <row r="145">
      <c r="B145" s="8" t="inlineStr">
        <is>
          <t>Apto 0708-2</t>
        </is>
      </c>
      <c r="C145" s="34" t="n">
        <v>0.003388</v>
      </c>
      <c r="D145" s="12">
        <f>'Resumo Assembleia'!D29*C145</f>
        <v/>
      </c>
    </row>
    <row r="146">
      <c r="B146" s="8" t="inlineStr">
        <is>
          <t>Apto 0801-2</t>
        </is>
      </c>
      <c r="C146" s="34" t="n">
        <v>0.004226</v>
      </c>
      <c r="D146" s="12">
        <f>'Resumo Assembleia'!D29*C146</f>
        <v/>
      </c>
    </row>
    <row r="147">
      <c r="B147" s="8" t="inlineStr">
        <is>
          <t>Apto 0802-2</t>
        </is>
      </c>
      <c r="C147" s="34" t="n">
        <v>0.004226</v>
      </c>
      <c r="D147" s="12">
        <f>'Resumo Assembleia'!D29*C147</f>
        <v/>
      </c>
    </row>
    <row r="148">
      <c r="B148" s="8" t="inlineStr">
        <is>
          <t>Apto 0803-2</t>
        </is>
      </c>
      <c r="C148" s="34" t="n">
        <v>0.003388</v>
      </c>
      <c r="D148" s="12">
        <f>'Resumo Assembleia'!D29*C148</f>
        <v/>
      </c>
    </row>
    <row r="149">
      <c r="B149" s="8" t="inlineStr">
        <is>
          <t>Apto 0804-2</t>
        </is>
      </c>
      <c r="C149" s="34" t="n">
        <v>0.003201</v>
      </c>
      <c r="D149" s="12">
        <f>'Resumo Assembleia'!D29*C149</f>
        <v/>
      </c>
    </row>
    <row r="150">
      <c r="B150" s="8" t="inlineStr">
        <is>
          <t>Apto 0805-2</t>
        </is>
      </c>
      <c r="C150" s="34" t="n">
        <v>0.004226</v>
      </c>
      <c r="D150" s="12">
        <f>'Resumo Assembleia'!D29*C150</f>
        <v/>
      </c>
    </row>
    <row r="151">
      <c r="B151" s="8" t="inlineStr">
        <is>
          <t>Apto 0806-2</t>
        </is>
      </c>
      <c r="C151" s="34" t="n">
        <v>0.004226</v>
      </c>
      <c r="D151" s="12">
        <f>'Resumo Assembleia'!D29*C151</f>
        <v/>
      </c>
    </row>
    <row r="152">
      <c r="B152" s="8" t="inlineStr">
        <is>
          <t>Apto 0807-2</t>
        </is>
      </c>
      <c r="C152" s="34" t="n">
        <v>0.003201</v>
      </c>
      <c r="D152" s="12">
        <f>'Resumo Assembleia'!D29*C152</f>
        <v/>
      </c>
    </row>
    <row r="153">
      <c r="B153" s="8" t="inlineStr">
        <is>
          <t>Apto 0808-2</t>
        </is>
      </c>
      <c r="C153" s="34" t="n">
        <v>0.003534</v>
      </c>
      <c r="D153" s="12">
        <f>'Resumo Assembleia'!D29*C153</f>
        <v/>
      </c>
    </row>
    <row r="154">
      <c r="B154" s="8" t="inlineStr">
        <is>
          <t>Apto 0901-2</t>
        </is>
      </c>
      <c r="C154" s="34" t="n">
        <v>0.004226</v>
      </c>
      <c r="D154" s="12">
        <f>'Resumo Assembleia'!D29*C154</f>
        <v/>
      </c>
    </row>
    <row r="155">
      <c r="B155" s="8" t="inlineStr">
        <is>
          <t>Apto 0902-2</t>
        </is>
      </c>
      <c r="C155" s="34" t="n">
        <v>0.004226</v>
      </c>
      <c r="D155" s="12">
        <f>'Resumo Assembleia'!D29*C155</f>
        <v/>
      </c>
    </row>
    <row r="156">
      <c r="B156" s="8" t="inlineStr">
        <is>
          <t>Apto 0903-2</t>
        </is>
      </c>
      <c r="C156" s="34" t="n">
        <v>0.003534</v>
      </c>
      <c r="D156" s="12">
        <f>'Resumo Assembleia'!D29*C156</f>
        <v/>
      </c>
    </row>
    <row r="157">
      <c r="B157" s="8" t="inlineStr">
        <is>
          <t>Apto 0904-2</t>
        </is>
      </c>
      <c r="C157" s="34" t="n">
        <v>0.003201</v>
      </c>
      <c r="D157" s="12">
        <f>'Resumo Assembleia'!D29*C157</f>
        <v/>
      </c>
    </row>
    <row r="158">
      <c r="B158" s="8" t="inlineStr">
        <is>
          <t>Apto 0905-2</t>
        </is>
      </c>
      <c r="C158" s="34" t="n">
        <v>0.004226</v>
      </c>
      <c r="D158" s="12">
        <f>'Resumo Assembleia'!D29*C158</f>
        <v/>
      </c>
    </row>
    <row r="159">
      <c r="B159" s="8" t="inlineStr">
        <is>
          <t>Apto 0906-2</t>
        </is>
      </c>
      <c r="C159" s="34" t="n">
        <v>0.004226</v>
      </c>
      <c r="D159" s="12">
        <f>'Resumo Assembleia'!D29*C159</f>
        <v/>
      </c>
    </row>
    <row r="160">
      <c r="B160" s="8" t="inlineStr">
        <is>
          <t>Apto 0907-2</t>
        </is>
      </c>
      <c r="C160" s="34" t="n">
        <v>0.003201</v>
      </c>
      <c r="D160" s="12">
        <f>'Resumo Assembleia'!D29*C160</f>
        <v/>
      </c>
    </row>
    <row r="161">
      <c r="B161" s="8" t="inlineStr">
        <is>
          <t>Apto 0908-2</t>
        </is>
      </c>
      <c r="C161" s="34" t="n">
        <v>0.003534</v>
      </c>
      <c r="D161" s="12">
        <f>'Resumo Assembleia'!D29*C161</f>
        <v/>
      </c>
    </row>
    <row r="162">
      <c r="B162" s="8" t="inlineStr">
        <is>
          <t>Apto 1001-2</t>
        </is>
      </c>
      <c r="C162" s="34" t="n">
        <v>0.004517</v>
      </c>
      <c r="D162" s="12">
        <f>'Resumo Assembleia'!D29*C162</f>
        <v/>
      </c>
    </row>
    <row r="163">
      <c r="B163" s="8" t="inlineStr">
        <is>
          <t>Apto 1002-2</t>
        </is>
      </c>
      <c r="C163" s="34" t="n">
        <v>0.004226</v>
      </c>
      <c r="D163" s="12">
        <f>'Resumo Assembleia'!D29*C163</f>
        <v/>
      </c>
    </row>
    <row r="164">
      <c r="B164" s="8" t="inlineStr">
        <is>
          <t>Apto 1003-2</t>
        </is>
      </c>
      <c r="C164" s="34" t="n">
        <v>0.003534</v>
      </c>
      <c r="D164" s="12">
        <f>'Resumo Assembleia'!D29*C164</f>
        <v/>
      </c>
    </row>
    <row r="165">
      <c r="B165" s="8" t="inlineStr">
        <is>
          <t>Apto 1004-2</t>
        </is>
      </c>
      <c r="C165" s="34" t="n">
        <v>0.003201</v>
      </c>
      <c r="D165" s="12">
        <f>'Resumo Assembleia'!D29*C165</f>
        <v/>
      </c>
    </row>
    <row r="166">
      <c r="B166" s="8" t="inlineStr">
        <is>
          <t>Apto 1005-2</t>
        </is>
      </c>
      <c r="C166" s="34" t="n">
        <v>0.004226</v>
      </c>
      <c r="D166" s="12">
        <f>'Resumo Assembleia'!D29*C166</f>
        <v/>
      </c>
    </row>
    <row r="167">
      <c r="B167" s="8" t="inlineStr">
        <is>
          <t>Apto 1006-2</t>
        </is>
      </c>
      <c r="C167" s="34" t="n">
        <v>0.004517</v>
      </c>
      <c r="D167" s="12">
        <f>'Resumo Assembleia'!D29*C167</f>
        <v/>
      </c>
    </row>
    <row r="168">
      <c r="B168" s="8" t="inlineStr">
        <is>
          <t>Apto 1007-2</t>
        </is>
      </c>
      <c r="C168" s="34" t="n">
        <v>0.003201</v>
      </c>
      <c r="D168" s="12">
        <f>'Resumo Assembleia'!D29*C168</f>
        <v/>
      </c>
    </row>
    <row r="169">
      <c r="B169" s="8" t="inlineStr">
        <is>
          <t>Apto 1008-2</t>
        </is>
      </c>
      <c r="C169" s="34" t="n">
        <v>0.003534</v>
      </c>
      <c r="D169" s="12">
        <f>'Resumo Assembleia'!D29*C169</f>
        <v/>
      </c>
    </row>
    <row r="170">
      <c r="B170" s="8" t="inlineStr">
        <is>
          <t>Apto 1101-2</t>
        </is>
      </c>
      <c r="C170" s="34" t="n">
        <v>0.004517</v>
      </c>
      <c r="D170" s="12">
        <f>'Resumo Assembleia'!D29*C170</f>
        <v/>
      </c>
    </row>
    <row r="171">
      <c r="B171" s="8" t="inlineStr">
        <is>
          <t>Apto 1102-2</t>
        </is>
      </c>
      <c r="C171" s="34" t="n">
        <v>0.004517</v>
      </c>
      <c r="D171" s="12">
        <f>'Resumo Assembleia'!D29*C171</f>
        <v/>
      </c>
    </row>
    <row r="172">
      <c r="B172" s="8" t="inlineStr">
        <is>
          <t>Apto 1103-2</t>
        </is>
      </c>
      <c r="C172" s="34" t="n">
        <v>0.003534</v>
      </c>
      <c r="D172" s="12">
        <f>'Resumo Assembleia'!D29*C172</f>
        <v/>
      </c>
    </row>
    <row r="173">
      <c r="B173" s="8" t="inlineStr">
        <is>
          <t>Apto 1104-2</t>
        </is>
      </c>
      <c r="C173" s="34" t="n">
        <v>0.003201</v>
      </c>
      <c r="D173" s="12">
        <f>'Resumo Assembleia'!D29*C173</f>
        <v/>
      </c>
    </row>
    <row r="174">
      <c r="B174" s="8" t="inlineStr">
        <is>
          <t>Apto 1105-2</t>
        </is>
      </c>
      <c r="C174" s="34" t="n">
        <v>0.004517</v>
      </c>
      <c r="D174" s="12">
        <f>'Resumo Assembleia'!D29*C174</f>
        <v/>
      </c>
    </row>
    <row r="175">
      <c r="B175" s="8" t="inlineStr">
        <is>
          <t>Apto 1106-2</t>
        </is>
      </c>
      <c r="C175" s="34" t="n">
        <v>0.004517</v>
      </c>
      <c r="D175" s="12">
        <f>'Resumo Assembleia'!D29*C175</f>
        <v/>
      </c>
    </row>
    <row r="176">
      <c r="B176" s="8" t="inlineStr">
        <is>
          <t>Apto 1107-2</t>
        </is>
      </c>
      <c r="C176" s="34" t="n">
        <v>0.003201</v>
      </c>
      <c r="D176" s="12">
        <f>'Resumo Assembleia'!D29*C176</f>
        <v/>
      </c>
    </row>
    <row r="177">
      <c r="B177" s="8" t="inlineStr">
        <is>
          <t>Apto 1108-2</t>
        </is>
      </c>
      <c r="C177" s="34" t="n">
        <v>0.003534</v>
      </c>
      <c r="D177" s="12">
        <f>'Resumo Assembleia'!D29*C177</f>
        <v/>
      </c>
    </row>
    <row r="178">
      <c r="B178" s="8" t="inlineStr">
        <is>
          <t>Apto 0101-3</t>
        </is>
      </c>
      <c r="C178" s="34" t="n">
        <v>0.004226</v>
      </c>
      <c r="D178" s="12">
        <f>'Resumo Assembleia'!D29*C178</f>
        <v/>
      </c>
    </row>
    <row r="179">
      <c r="B179" s="8" t="inlineStr">
        <is>
          <t>Apto 0102-3</t>
        </is>
      </c>
      <c r="C179" s="34" t="n">
        <v>0.004226</v>
      </c>
      <c r="D179" s="12">
        <f>'Resumo Assembleia'!D29*C179</f>
        <v/>
      </c>
    </row>
    <row r="180">
      <c r="B180" s="8" t="inlineStr">
        <is>
          <t>Apto 0103-3</t>
        </is>
      </c>
      <c r="C180" s="34" t="n">
        <v>0.003388</v>
      </c>
      <c r="D180" s="12">
        <f>'Resumo Assembleia'!D29*C180</f>
        <v/>
      </c>
    </row>
    <row r="181">
      <c r="B181" s="8" t="inlineStr">
        <is>
          <t>Apto 0104-3</t>
        </is>
      </c>
      <c r="C181" s="34" t="n">
        <v>0.003201</v>
      </c>
      <c r="D181" s="12">
        <f>'Resumo Assembleia'!D29*C181</f>
        <v/>
      </c>
    </row>
    <row r="182">
      <c r="B182" s="8" t="inlineStr">
        <is>
          <t>Apto 0105-3</t>
        </is>
      </c>
      <c r="C182" s="34" t="n">
        <v>0.004226</v>
      </c>
      <c r="D182" s="12">
        <f>'Resumo Assembleia'!D29*C182</f>
        <v/>
      </c>
    </row>
    <row r="183">
      <c r="B183" s="8" t="inlineStr">
        <is>
          <t>Apto 0106-3</t>
        </is>
      </c>
      <c r="C183" s="34" t="n">
        <v>0.004226</v>
      </c>
      <c r="D183" s="12">
        <f>'Resumo Assembleia'!D29*C183</f>
        <v/>
      </c>
    </row>
    <row r="184">
      <c r="B184" s="8" t="inlineStr">
        <is>
          <t>Apto 0107-3</t>
        </is>
      </c>
      <c r="C184" s="34" t="n">
        <v>0.003201</v>
      </c>
      <c r="D184" s="12">
        <f>'Resumo Assembleia'!D29*C184</f>
        <v/>
      </c>
    </row>
    <row r="185">
      <c r="B185" s="8" t="inlineStr">
        <is>
          <t>Apto 0108-3</t>
        </is>
      </c>
      <c r="C185" s="34" t="n">
        <v>0.003388</v>
      </c>
      <c r="D185" s="12">
        <f>'Resumo Assembleia'!D29*C185</f>
        <v/>
      </c>
    </row>
    <row r="186">
      <c r="B186" s="8" t="inlineStr">
        <is>
          <t>Apto 0201-3</t>
        </is>
      </c>
      <c r="C186" s="34" t="n">
        <v>0.004226</v>
      </c>
      <c r="D186" s="12">
        <f>'Resumo Assembleia'!D29*C186</f>
        <v/>
      </c>
    </row>
    <row r="187">
      <c r="B187" s="8" t="inlineStr">
        <is>
          <t>Apto 0202-3</t>
        </is>
      </c>
      <c r="C187" s="34" t="n">
        <v>0.004226</v>
      </c>
      <c r="D187" s="12">
        <f>'Resumo Assembleia'!D29*C187</f>
        <v/>
      </c>
    </row>
    <row r="188">
      <c r="B188" s="8" t="inlineStr">
        <is>
          <t>Apto 0203-3</t>
        </is>
      </c>
      <c r="C188" s="34" t="n">
        <v>0.003388</v>
      </c>
      <c r="D188" s="12">
        <f>'Resumo Assembleia'!D29*C188</f>
        <v/>
      </c>
    </row>
    <row r="189">
      <c r="B189" s="8" t="inlineStr">
        <is>
          <t>Apto 0204-3</t>
        </is>
      </c>
      <c r="C189" s="34" t="n">
        <v>0.003201</v>
      </c>
      <c r="D189" s="12">
        <f>'Resumo Assembleia'!D29*C189</f>
        <v/>
      </c>
    </row>
    <row r="190">
      <c r="B190" s="8" t="inlineStr">
        <is>
          <t>Apto 0205-3</t>
        </is>
      </c>
      <c r="C190" s="34" t="n">
        <v>0.004226</v>
      </c>
      <c r="D190" s="12">
        <f>'Resumo Assembleia'!D29*C190</f>
        <v/>
      </c>
    </row>
    <row r="191">
      <c r="B191" s="8" t="inlineStr">
        <is>
          <t>Apto 0206-3</t>
        </is>
      </c>
      <c r="C191" s="34" t="n">
        <v>0.004226</v>
      </c>
      <c r="D191" s="12">
        <f>'Resumo Assembleia'!D29*C191</f>
        <v/>
      </c>
    </row>
    <row r="192">
      <c r="B192" s="8" t="inlineStr">
        <is>
          <t>Apto 0207-3</t>
        </is>
      </c>
      <c r="C192" s="34" t="n">
        <v>0.003201</v>
      </c>
      <c r="D192" s="12">
        <f>'Resumo Assembleia'!D29*C192</f>
        <v/>
      </c>
    </row>
    <row r="193">
      <c r="B193" s="8" t="inlineStr">
        <is>
          <t>Apto 0208-3</t>
        </is>
      </c>
      <c r="C193" s="34" t="n">
        <v>0.003388</v>
      </c>
      <c r="D193" s="12">
        <f>'Resumo Assembleia'!D29*C193</f>
        <v/>
      </c>
    </row>
    <row r="194">
      <c r="B194" s="8" t="inlineStr">
        <is>
          <t>Apto 0301-3</t>
        </is>
      </c>
      <c r="C194" s="34" t="n">
        <v>0.004226</v>
      </c>
      <c r="D194" s="12">
        <f>'Resumo Assembleia'!D29*C194</f>
        <v/>
      </c>
    </row>
    <row r="195">
      <c r="B195" s="8" t="inlineStr">
        <is>
          <t>Apto 0302-3</t>
        </is>
      </c>
      <c r="C195" s="34" t="n">
        <v>0.004226</v>
      </c>
      <c r="D195" s="12">
        <f>'Resumo Assembleia'!D29*C195</f>
        <v/>
      </c>
    </row>
    <row r="196">
      <c r="B196" s="8" t="inlineStr">
        <is>
          <t>Apto 0303-3</t>
        </is>
      </c>
      <c r="C196" s="34" t="n">
        <v>0.003388</v>
      </c>
      <c r="D196" s="12">
        <f>'Resumo Assembleia'!D29*C196</f>
        <v/>
      </c>
    </row>
    <row r="197">
      <c r="B197" s="8" t="inlineStr">
        <is>
          <t>Apto 0304-3</t>
        </is>
      </c>
      <c r="C197" s="34" t="n">
        <v>0.003201</v>
      </c>
      <c r="D197" s="12">
        <f>'Resumo Assembleia'!D29*C197</f>
        <v/>
      </c>
    </row>
    <row r="198">
      <c r="B198" s="8" t="inlineStr">
        <is>
          <t>Apto 0305-3</t>
        </is>
      </c>
      <c r="C198" s="34" t="n">
        <v>0.004226</v>
      </c>
      <c r="D198" s="12">
        <f>'Resumo Assembleia'!D29*C198</f>
        <v/>
      </c>
    </row>
    <row r="199">
      <c r="B199" s="8" t="inlineStr">
        <is>
          <t>Apto 0306-3</t>
        </is>
      </c>
      <c r="C199" s="34" t="n">
        <v>0.004226</v>
      </c>
      <c r="D199" s="12">
        <f>'Resumo Assembleia'!D29*C199</f>
        <v/>
      </c>
    </row>
    <row r="200">
      <c r="B200" s="8" t="inlineStr">
        <is>
          <t>Apto 0307-3</t>
        </is>
      </c>
      <c r="C200" s="34" t="n">
        <v>0.003201</v>
      </c>
      <c r="D200" s="12">
        <f>'Resumo Assembleia'!D29*C200</f>
        <v/>
      </c>
    </row>
    <row r="201">
      <c r="B201" s="8" t="inlineStr">
        <is>
          <t>Apto 0308-3</t>
        </is>
      </c>
      <c r="C201" s="34" t="n">
        <v>0.003388</v>
      </c>
      <c r="D201" s="12">
        <f>'Resumo Assembleia'!D29*C201</f>
        <v/>
      </c>
    </row>
    <row r="202">
      <c r="B202" s="8" t="inlineStr">
        <is>
          <t>Apto 0401-3</t>
        </is>
      </c>
      <c r="C202" s="34" t="n">
        <v>0.004226</v>
      </c>
      <c r="D202" s="12">
        <f>'Resumo Assembleia'!D29*C202</f>
        <v/>
      </c>
    </row>
    <row r="203">
      <c r="B203" s="8" t="inlineStr">
        <is>
          <t>Apto 0402-3</t>
        </is>
      </c>
      <c r="C203" s="34" t="n">
        <v>0.004226</v>
      </c>
      <c r="D203" s="12">
        <f>'Resumo Assembleia'!D29*C203</f>
        <v/>
      </c>
    </row>
    <row r="204">
      <c r="B204" s="8" t="inlineStr">
        <is>
          <t>Apto 0403-3</t>
        </is>
      </c>
      <c r="C204" s="34" t="n">
        <v>0.003388</v>
      </c>
      <c r="D204" s="12">
        <f>'Resumo Assembleia'!D29*C204</f>
        <v/>
      </c>
    </row>
    <row r="205">
      <c r="B205" s="8" t="inlineStr">
        <is>
          <t>Apto 0404-3</t>
        </is>
      </c>
      <c r="C205" s="34" t="n">
        <v>0.003201</v>
      </c>
      <c r="D205" s="12">
        <f>'Resumo Assembleia'!D29*C205</f>
        <v/>
      </c>
    </row>
    <row r="206">
      <c r="B206" s="8" t="inlineStr">
        <is>
          <t>Apto 0405-3</t>
        </is>
      </c>
      <c r="C206" s="34" t="n">
        <v>0.004226</v>
      </c>
      <c r="D206" s="12">
        <f>'Resumo Assembleia'!D29*C206</f>
        <v/>
      </c>
    </row>
    <row r="207">
      <c r="B207" s="8" t="inlineStr">
        <is>
          <t>Apto 0406-3</t>
        </is>
      </c>
      <c r="C207" s="34" t="n">
        <v>0.004226</v>
      </c>
      <c r="D207" s="12">
        <f>'Resumo Assembleia'!D29*C207</f>
        <v/>
      </c>
    </row>
    <row r="208">
      <c r="B208" s="8" t="inlineStr">
        <is>
          <t>Apto 0407-3</t>
        </is>
      </c>
      <c r="C208" s="34" t="n">
        <v>0.003201</v>
      </c>
      <c r="D208" s="12">
        <f>'Resumo Assembleia'!D29*C208</f>
        <v/>
      </c>
    </row>
    <row r="209">
      <c r="B209" s="8" t="inlineStr">
        <is>
          <t>Apto 0408-3</t>
        </is>
      </c>
      <c r="C209" s="34" t="n">
        <v>0.003388</v>
      </c>
      <c r="D209" s="12">
        <f>'Resumo Assembleia'!D29*C209</f>
        <v/>
      </c>
    </row>
    <row r="210">
      <c r="B210" s="8" t="inlineStr">
        <is>
          <t>Apto 0501-3</t>
        </is>
      </c>
      <c r="C210" s="34" t="n">
        <v>0.004226</v>
      </c>
      <c r="D210" s="12">
        <f>'Resumo Assembleia'!D29*C210</f>
        <v/>
      </c>
    </row>
    <row r="211">
      <c r="B211" s="8" t="inlineStr">
        <is>
          <t>Apto 0502-3</t>
        </is>
      </c>
      <c r="C211" s="34" t="n">
        <v>0.004226</v>
      </c>
      <c r="D211" s="12">
        <f>'Resumo Assembleia'!D29*C211</f>
        <v/>
      </c>
    </row>
    <row r="212">
      <c r="B212" s="8" t="inlineStr">
        <is>
          <t>Apto 0503-3</t>
        </is>
      </c>
      <c r="C212" s="34" t="n">
        <v>0.003388</v>
      </c>
      <c r="D212" s="12">
        <f>'Resumo Assembleia'!D29*C212</f>
        <v/>
      </c>
    </row>
    <row r="213">
      <c r="B213" s="8" t="inlineStr">
        <is>
          <t>Apto 0504-3</t>
        </is>
      </c>
      <c r="C213" s="34" t="n">
        <v>0.003201</v>
      </c>
      <c r="D213" s="12">
        <f>'Resumo Assembleia'!D29*C213</f>
        <v/>
      </c>
    </row>
    <row r="214">
      <c r="B214" s="8" t="inlineStr">
        <is>
          <t>Apto 0505-3</t>
        </is>
      </c>
      <c r="C214" s="34" t="n">
        <v>0.004226</v>
      </c>
      <c r="D214" s="12">
        <f>'Resumo Assembleia'!D29*C214</f>
        <v/>
      </c>
    </row>
    <row r="215">
      <c r="B215" s="8" t="inlineStr">
        <is>
          <t>Apto 0506-3</t>
        </is>
      </c>
      <c r="C215" s="34" t="n">
        <v>0.004226</v>
      </c>
      <c r="D215" s="12">
        <f>'Resumo Assembleia'!D29*C215</f>
        <v/>
      </c>
    </row>
    <row r="216">
      <c r="B216" s="8" t="inlineStr">
        <is>
          <t>Apto 0507-3</t>
        </is>
      </c>
      <c r="C216" s="34" t="n">
        <v>0.003201</v>
      </c>
      <c r="D216" s="12">
        <f>'Resumo Assembleia'!D29*C216</f>
        <v/>
      </c>
    </row>
    <row r="217">
      <c r="B217" s="8" t="inlineStr">
        <is>
          <t>Apto 0508-3</t>
        </is>
      </c>
      <c r="C217" s="34" t="n">
        <v>0.003388</v>
      </c>
      <c r="D217" s="12">
        <f>'Resumo Assembleia'!D29*C217</f>
        <v/>
      </c>
    </row>
    <row r="218">
      <c r="B218" s="8" t="inlineStr">
        <is>
          <t>Apto 0601-3</t>
        </is>
      </c>
      <c r="C218" s="34" t="n">
        <v>0.004226</v>
      </c>
      <c r="D218" s="12">
        <f>'Resumo Assembleia'!D29*C218</f>
        <v/>
      </c>
    </row>
    <row r="219">
      <c r="B219" s="8" t="inlineStr">
        <is>
          <t>Apto 0602-3</t>
        </is>
      </c>
      <c r="C219" s="34" t="n">
        <v>0.004226</v>
      </c>
      <c r="D219" s="12">
        <f>'Resumo Assembleia'!D29*C219</f>
        <v/>
      </c>
    </row>
    <row r="220">
      <c r="B220" s="8" t="inlineStr">
        <is>
          <t>Apto 0603-3</t>
        </is>
      </c>
      <c r="C220" s="34" t="n">
        <v>0.003388</v>
      </c>
      <c r="D220" s="12">
        <f>'Resumo Assembleia'!D29*C220</f>
        <v/>
      </c>
    </row>
    <row r="221">
      <c r="B221" s="8" t="inlineStr">
        <is>
          <t>Apto 0604-3</t>
        </is>
      </c>
      <c r="C221" s="34" t="n">
        <v>0.003201</v>
      </c>
      <c r="D221" s="12">
        <f>'Resumo Assembleia'!D29*C221</f>
        <v/>
      </c>
    </row>
    <row r="222">
      <c r="B222" s="8" t="inlineStr">
        <is>
          <t>Apto 0605-3</t>
        </is>
      </c>
      <c r="C222" s="34" t="n">
        <v>0.004226</v>
      </c>
      <c r="D222" s="12">
        <f>'Resumo Assembleia'!D29*C222</f>
        <v/>
      </c>
    </row>
    <row r="223">
      <c r="B223" s="8" t="inlineStr">
        <is>
          <t>Apto 0606-3</t>
        </is>
      </c>
      <c r="C223" s="34" t="n">
        <v>0.004226</v>
      </c>
      <c r="D223" s="12">
        <f>'Resumo Assembleia'!D29*C223</f>
        <v/>
      </c>
    </row>
    <row r="224">
      <c r="B224" s="8" t="inlineStr">
        <is>
          <t>Apto 0607-3</t>
        </is>
      </c>
      <c r="C224" s="34" t="n">
        <v>0.003201</v>
      </c>
      <c r="D224" s="12">
        <f>'Resumo Assembleia'!D29*C224</f>
        <v/>
      </c>
    </row>
    <row r="225">
      <c r="B225" s="8" t="inlineStr">
        <is>
          <t>Apto 0608-3</t>
        </is>
      </c>
      <c r="C225" s="34" t="n">
        <v>0.003388</v>
      </c>
      <c r="D225" s="12">
        <f>'Resumo Assembleia'!D29*C225</f>
        <v/>
      </c>
    </row>
    <row r="226">
      <c r="B226" s="8" t="inlineStr">
        <is>
          <t>Apto 0701-3</t>
        </is>
      </c>
      <c r="C226" s="34" t="n">
        <v>0.004226</v>
      </c>
      <c r="D226" s="12">
        <f>'Resumo Assembleia'!D29*C226</f>
        <v/>
      </c>
    </row>
    <row r="227">
      <c r="B227" s="8" t="inlineStr">
        <is>
          <t>Apto 0702-3</t>
        </is>
      </c>
      <c r="C227" s="34" t="n">
        <v>0.004226</v>
      </c>
      <c r="D227" s="12">
        <f>'Resumo Assembleia'!D29*C227</f>
        <v/>
      </c>
    </row>
    <row r="228">
      <c r="B228" s="8" t="inlineStr">
        <is>
          <t>Apto 0703-3</t>
        </is>
      </c>
      <c r="C228" s="34" t="n">
        <v>0.003388</v>
      </c>
      <c r="D228" s="12">
        <f>'Resumo Assembleia'!D29*C228</f>
        <v/>
      </c>
    </row>
    <row r="229">
      <c r="B229" s="8" t="inlineStr">
        <is>
          <t>Apto 0704-3</t>
        </is>
      </c>
      <c r="C229" s="34" t="n">
        <v>0.003201</v>
      </c>
      <c r="D229" s="12">
        <f>'Resumo Assembleia'!D29*C229</f>
        <v/>
      </c>
    </row>
    <row r="230">
      <c r="B230" s="8" t="inlineStr">
        <is>
          <t>Apto 0705-3</t>
        </is>
      </c>
      <c r="C230" s="34" t="n">
        <v>0.004226</v>
      </c>
      <c r="D230" s="12">
        <f>'Resumo Assembleia'!D29*C230</f>
        <v/>
      </c>
    </row>
    <row r="231">
      <c r="B231" s="8" t="inlineStr">
        <is>
          <t>Apto 0706-3</t>
        </is>
      </c>
      <c r="C231" s="34" t="n">
        <v>0.004226</v>
      </c>
      <c r="D231" s="12">
        <f>'Resumo Assembleia'!D29*C231</f>
        <v/>
      </c>
    </row>
    <row r="232">
      <c r="B232" s="8" t="inlineStr">
        <is>
          <t>Apto 0707-3</t>
        </is>
      </c>
      <c r="C232" s="34" t="n">
        <v>0.003201</v>
      </c>
      <c r="D232" s="12">
        <f>'Resumo Assembleia'!D29*C232</f>
        <v/>
      </c>
    </row>
    <row r="233">
      <c r="B233" s="8" t="inlineStr">
        <is>
          <t>Apto 0708-3</t>
        </is>
      </c>
      <c r="C233" s="34" t="n">
        <v>0.003388</v>
      </c>
      <c r="D233" s="12">
        <f>'Resumo Assembleia'!D29*C233</f>
        <v/>
      </c>
    </row>
    <row r="234">
      <c r="B234" s="8" t="inlineStr">
        <is>
          <t>Apto 0801-3</t>
        </is>
      </c>
      <c r="C234" s="34" t="n">
        <v>0.004226</v>
      </c>
      <c r="D234" s="12">
        <f>'Resumo Assembleia'!D29*C234</f>
        <v/>
      </c>
    </row>
    <row r="235">
      <c r="B235" s="8" t="inlineStr">
        <is>
          <t>Apto 0802-3</t>
        </is>
      </c>
      <c r="C235" s="34" t="n">
        <v>0.004226</v>
      </c>
      <c r="D235" s="12">
        <f>'Resumo Assembleia'!D29*C235</f>
        <v/>
      </c>
    </row>
    <row r="236">
      <c r="B236" s="8" t="inlineStr">
        <is>
          <t>Apto 0803-3</t>
        </is>
      </c>
      <c r="C236" s="34" t="n">
        <v>0.003388</v>
      </c>
      <c r="D236" s="12">
        <f>'Resumo Assembleia'!D29*C236</f>
        <v/>
      </c>
    </row>
    <row r="237">
      <c r="B237" s="8" t="inlineStr">
        <is>
          <t>Apto 0804-3</t>
        </is>
      </c>
      <c r="C237" s="34" t="n">
        <v>0.003201</v>
      </c>
      <c r="D237" s="12">
        <f>'Resumo Assembleia'!D29*C237</f>
        <v/>
      </c>
    </row>
    <row r="238">
      <c r="B238" s="8" t="inlineStr">
        <is>
          <t>Apto 0805-3</t>
        </is>
      </c>
      <c r="C238" s="34" t="n">
        <v>0.004226</v>
      </c>
      <c r="D238" s="12">
        <f>'Resumo Assembleia'!D29*C238</f>
        <v/>
      </c>
    </row>
    <row r="239">
      <c r="B239" s="8" t="inlineStr">
        <is>
          <t>Apto 0806-3</t>
        </is>
      </c>
      <c r="C239" s="34" t="n">
        <v>0.004226</v>
      </c>
      <c r="D239" s="12">
        <f>'Resumo Assembleia'!D29*C239</f>
        <v/>
      </c>
    </row>
    <row r="240">
      <c r="B240" s="8" t="inlineStr">
        <is>
          <t>Apto 0807-3</t>
        </is>
      </c>
      <c r="C240" s="34" t="n">
        <v>0.003201</v>
      </c>
      <c r="D240" s="12">
        <f>'Resumo Assembleia'!D29*C240</f>
        <v/>
      </c>
    </row>
    <row r="241">
      <c r="B241" s="8" t="inlineStr">
        <is>
          <t>Apto 0808-3</t>
        </is>
      </c>
      <c r="C241" s="34" t="n">
        <v>0.003388</v>
      </c>
      <c r="D241" s="12">
        <f>'Resumo Assembleia'!D29*C241</f>
        <v/>
      </c>
    </row>
    <row r="242">
      <c r="B242" s="8" t="inlineStr">
        <is>
          <t>Apto 0901-3</t>
        </is>
      </c>
      <c r="C242" s="34" t="n">
        <v>0.004226</v>
      </c>
      <c r="D242" s="12">
        <f>'Resumo Assembleia'!D29*C242</f>
        <v/>
      </c>
    </row>
    <row r="243">
      <c r="B243" s="8" t="inlineStr">
        <is>
          <t>Apto 0902-3</t>
        </is>
      </c>
      <c r="C243" s="34" t="n">
        <v>0.004226</v>
      </c>
      <c r="D243" s="12">
        <f>'Resumo Assembleia'!D29*C243</f>
        <v/>
      </c>
    </row>
    <row r="244">
      <c r="B244" s="8" t="inlineStr">
        <is>
          <t>Apto 0903-3</t>
        </is>
      </c>
      <c r="C244" s="34" t="n">
        <v>0.003388</v>
      </c>
      <c r="D244" s="12">
        <f>'Resumo Assembleia'!D29*C244</f>
        <v/>
      </c>
    </row>
    <row r="245">
      <c r="B245" s="8" t="inlineStr">
        <is>
          <t>Apto 0904-3</t>
        </is>
      </c>
      <c r="C245" s="34" t="n">
        <v>0.003201</v>
      </c>
      <c r="D245" s="12">
        <f>'Resumo Assembleia'!D29*C245</f>
        <v/>
      </c>
    </row>
    <row r="246">
      <c r="B246" s="8" t="inlineStr">
        <is>
          <t>Apto 0905-3</t>
        </is>
      </c>
      <c r="C246" s="34" t="n">
        <v>0.004226</v>
      </c>
      <c r="D246" s="12">
        <f>'Resumo Assembleia'!D29*C246</f>
        <v/>
      </c>
    </row>
    <row r="247">
      <c r="B247" s="8" t="inlineStr">
        <is>
          <t>Apto 0906-3</t>
        </is>
      </c>
      <c r="C247" s="34" t="n">
        <v>0.004226</v>
      </c>
      <c r="D247" s="12">
        <f>'Resumo Assembleia'!D29*C247</f>
        <v/>
      </c>
    </row>
    <row r="248">
      <c r="B248" s="8" t="inlineStr">
        <is>
          <t>Apto 0907-3</t>
        </is>
      </c>
      <c r="C248" s="34" t="n">
        <v>0.003201</v>
      </c>
      <c r="D248" s="12">
        <f>'Resumo Assembleia'!D29*C248</f>
        <v/>
      </c>
    </row>
    <row r="249">
      <c r="B249" s="8" t="inlineStr">
        <is>
          <t>Apto 0908-3</t>
        </is>
      </c>
      <c r="C249" s="34" t="n">
        <v>0.003388</v>
      </c>
      <c r="D249" s="12">
        <f>'Resumo Assembleia'!D29*C249</f>
        <v/>
      </c>
    </row>
    <row r="250">
      <c r="B250" s="8" t="inlineStr">
        <is>
          <t>Apto 1001-3</t>
        </is>
      </c>
      <c r="C250" s="34" t="n">
        <v>0.004517</v>
      </c>
      <c r="D250" s="12">
        <f>'Resumo Assembleia'!D29*C250</f>
        <v/>
      </c>
    </row>
    <row r="251">
      <c r="B251" s="8" t="inlineStr">
        <is>
          <t>Apto 1002-3</t>
        </is>
      </c>
      <c r="C251" s="34" t="n">
        <v>0.004226</v>
      </c>
      <c r="D251" s="12">
        <f>'Resumo Assembleia'!D29*C251</f>
        <v/>
      </c>
    </row>
    <row r="252">
      <c r="B252" s="8" t="inlineStr">
        <is>
          <t>Apto 1003-3</t>
        </is>
      </c>
      <c r="C252" s="34" t="n">
        <v>0.003536</v>
      </c>
      <c r="D252" s="12">
        <f>'Resumo Assembleia'!D29*C252</f>
        <v/>
      </c>
    </row>
    <row r="253">
      <c r="B253" s="8" t="inlineStr">
        <is>
          <t>Apto 1004-3</t>
        </is>
      </c>
      <c r="C253" s="34" t="n">
        <v>0.003201</v>
      </c>
      <c r="D253" s="12">
        <f>'Resumo Assembleia'!D29*C253</f>
        <v/>
      </c>
    </row>
    <row r="254">
      <c r="B254" s="8" t="inlineStr">
        <is>
          <t>Apto 1005-3</t>
        </is>
      </c>
      <c r="C254" s="34" t="n">
        <v>0.004226</v>
      </c>
      <c r="D254" s="12">
        <f>'Resumo Assembleia'!D29*C254</f>
        <v/>
      </c>
    </row>
    <row r="255">
      <c r="B255" s="8" t="inlineStr">
        <is>
          <t>Apto 1006-3</t>
        </is>
      </c>
      <c r="C255" s="34" t="n">
        <v>0.004517</v>
      </c>
      <c r="D255" s="12">
        <f>'Resumo Assembleia'!D29*C255</f>
        <v/>
      </c>
    </row>
    <row r="256">
      <c r="B256" s="8" t="inlineStr">
        <is>
          <t>Apto 1007-3</t>
        </is>
      </c>
      <c r="C256" s="34" t="n">
        <v>0.003201</v>
      </c>
      <c r="D256" s="12">
        <f>'Resumo Assembleia'!D29*C256</f>
        <v/>
      </c>
    </row>
    <row r="257">
      <c r="B257" s="8" t="inlineStr">
        <is>
          <t>Apto 1008-3</t>
        </is>
      </c>
      <c r="C257" s="34" t="n">
        <v>0.003388</v>
      </c>
      <c r="D257" s="12">
        <f>'Resumo Assembleia'!D29*C257</f>
        <v/>
      </c>
    </row>
    <row r="258">
      <c r="B258" s="8" t="inlineStr">
        <is>
          <t>Apto 1101-3</t>
        </is>
      </c>
      <c r="C258" s="34" t="n">
        <v>0.004517</v>
      </c>
      <c r="D258" s="12">
        <f>'Resumo Assembleia'!D29*C258</f>
        <v/>
      </c>
    </row>
    <row r="259">
      <c r="B259" s="8" t="inlineStr">
        <is>
          <t>Apto 1102-3</t>
        </is>
      </c>
      <c r="C259" s="34" t="n">
        <v>0.004517</v>
      </c>
      <c r="D259" s="12">
        <f>'Resumo Assembleia'!D29*C259</f>
        <v/>
      </c>
    </row>
    <row r="260">
      <c r="B260" s="8" t="inlineStr">
        <is>
          <t>Apto 1103-3</t>
        </is>
      </c>
      <c r="C260" s="34" t="n">
        <v>0.003536</v>
      </c>
      <c r="D260" s="12">
        <f>'Resumo Assembleia'!D29*C260</f>
        <v/>
      </c>
    </row>
    <row r="261">
      <c r="B261" s="8" t="inlineStr">
        <is>
          <t>Apto 1104-3</t>
        </is>
      </c>
      <c r="C261" s="34" t="n">
        <v>0.003201</v>
      </c>
      <c r="D261" s="12">
        <f>'Resumo Assembleia'!D29*C261</f>
        <v/>
      </c>
    </row>
    <row r="262">
      <c r="B262" s="8" t="inlineStr">
        <is>
          <t>Apto 1105-3</t>
        </is>
      </c>
      <c r="C262" s="34" t="n">
        <v>0.004517</v>
      </c>
      <c r="D262" s="12">
        <f>'Resumo Assembleia'!D29*C262</f>
        <v/>
      </c>
    </row>
    <row r="263">
      <c r="B263" s="8" t="inlineStr">
        <is>
          <t>Apto 1106-3</t>
        </is>
      </c>
      <c r="C263" s="34" t="n">
        <v>0.004517</v>
      </c>
      <c r="D263" s="12">
        <f>'Resumo Assembleia'!D29*C263</f>
        <v/>
      </c>
    </row>
    <row r="264">
      <c r="B264" s="8" t="inlineStr">
        <is>
          <t>Apto 1107-3</t>
        </is>
      </c>
      <c r="C264" s="34" t="n">
        <v>0.003201</v>
      </c>
      <c r="D264" s="12">
        <f>'Resumo Assembleia'!D29*C264</f>
        <v/>
      </c>
    </row>
    <row r="265">
      <c r="B265" s="8" t="inlineStr">
        <is>
          <t>Apto 1108-3</t>
        </is>
      </c>
      <c r="C265" s="34" t="n">
        <v>0.003536</v>
      </c>
      <c r="D265" s="12">
        <f>'Resumo Assembleia'!D29*C265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16" customWidth="1" min="4" max="4"/>
    <col width="50" customWidth="1" min="5" max="5"/>
  </cols>
  <sheetData>
    <row r="2">
      <c r="B2" s="23" t="inlineStr">
        <is>
          <t>ITENS POR FORA DO RATEIO</t>
        </is>
      </c>
    </row>
    <row r="3">
      <c r="B3" s="2" t="inlineStr">
        <is>
          <t>Itens que NÃO entram no cálculo da taxa condominial. Aparecem como nota na apresentação da assembleia, para total transparência.</t>
        </is>
      </c>
    </row>
    <row r="5">
      <c r="B5" s="7" t="inlineStr">
        <is>
          <t>Item</t>
        </is>
      </c>
      <c r="C5" s="7" t="inlineStr">
        <is>
          <t>Categoria de Origem</t>
        </is>
      </c>
      <c r="D5" s="7" t="inlineStr">
        <is>
          <t>Total Anual (R$)</t>
        </is>
      </c>
      <c r="E5" s="7" t="inlineStr">
        <is>
          <t>Motivo</t>
        </is>
      </c>
    </row>
    <row r="6">
      <c r="B6" s="8" t="inlineStr">
        <is>
          <t>Empréstimo Energia Solar</t>
        </is>
      </c>
      <c r="C6" s="2" t="inlineStr">
        <is>
          <t>Despesas Financeiras</t>
        </is>
      </c>
      <c r="D6" s="12" t="n">
        <v>89430.96000000001</v>
      </c>
      <c r="E6" s="33" t="inlineStr">
        <is>
          <t>Financiamento com prazo definido, custeado por arrecadação específica.</t>
        </is>
      </c>
    </row>
    <row r="7">
      <c r="B7" s="8" t="inlineStr">
        <is>
          <t>Energia</t>
        </is>
      </c>
      <c r="C7" s="2" t="inlineStr">
        <is>
          <t>Consumo e Taxas</t>
        </is>
      </c>
      <c r="D7" s="12" t="n">
        <v>28144.74</v>
      </c>
      <c r="E7" s="33" t="inlineStr">
        <is>
          <t>Rateado separadamente (medição/cobrança individual).</t>
        </is>
      </c>
    </row>
    <row r="8">
      <c r="B8" s="8" t="inlineStr">
        <is>
          <t>Telefone</t>
        </is>
      </c>
      <c r="C8" s="2" t="inlineStr">
        <is>
          <t>Consumo e Taxas</t>
        </is>
      </c>
      <c r="D8" s="12" t="n">
        <v>3182.24</v>
      </c>
      <c r="E8" s="33" t="inlineStr">
        <is>
          <t>Rateado separadamente (medição/cobrança individual).</t>
        </is>
      </c>
    </row>
    <row r="9">
      <c r="B9" s="8" t="inlineStr">
        <is>
          <t>Telefonia-Internet</t>
        </is>
      </c>
      <c r="C9" s="2" t="inlineStr">
        <is>
          <t>Consumo e Taxas</t>
        </is>
      </c>
      <c r="D9" s="12" t="n">
        <v>1299.99</v>
      </c>
      <c r="E9" s="33" t="inlineStr">
        <is>
          <t>Rateado separadamente (medição/cobrança individual).</t>
        </is>
      </c>
    </row>
    <row r="10">
      <c r="B10" s="8" t="inlineStr">
        <is>
          <t>Água-Esgoto</t>
        </is>
      </c>
      <c r="C10" s="2" t="inlineStr">
        <is>
          <t>Consumo e Taxas</t>
        </is>
      </c>
      <c r="D10" s="12" t="n">
        <v>369653.27</v>
      </c>
      <c r="E10" s="33" t="inlineStr">
        <is>
          <t>Rateado separadamente (medição/cobrança individual).</t>
        </is>
      </c>
    </row>
    <row r="11">
      <c r="B11" s="8" t="inlineStr">
        <is>
          <t>Materiais Obras-Melhorias</t>
        </is>
      </c>
      <c r="C11" s="2" t="inlineStr">
        <is>
          <t>Aquisição de Materiais</t>
        </is>
      </c>
      <c r="D11" s="12" t="n">
        <v>250000</v>
      </c>
      <c r="E11" s="33" t="inlineStr">
        <is>
          <t>Obra extraordinária não recorrente (evento único).</t>
        </is>
      </c>
    </row>
    <row r="12">
      <c r="B12" s="18" t="inlineStr">
        <is>
          <t>TOTAL POR FORA</t>
        </is>
      </c>
      <c r="C12" s="18" t="n"/>
      <c r="D12" s="19">
        <f>SUM(D6:D11)</f>
        <v/>
      </c>
      <c r="E12" s="18" t="n"/>
    </row>
  </sheetData>
  <mergeCells count="1"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2026-05-26T15:32:11Z</dcterms:created>
  <dcterms:modified xmlns:dcterms="http://purl.org/dc/terms/" xmlns:xsi="http://www.w3.org/2001/XMLSchema-instance" xsi:type="dcterms:W3CDTF">2026-05-26T15:32:11Z</dcterms:modified>
</cp:coreProperties>
</file>